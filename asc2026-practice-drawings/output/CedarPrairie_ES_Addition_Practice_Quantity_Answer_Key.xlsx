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onry" sheetId="2" state="visible" r:id="rId2"/>
    <sheet xmlns:r="http://schemas.openxmlformats.org/officeDocument/2006/relationships" name="Flooring" sheetId="3" state="visible" r:id="rId3"/>
    <sheet xmlns:r="http://schemas.openxmlformats.org/officeDocument/2006/relationships" name="Doors-Frames-HW" sheetId="4" state="visible" r:id="rId4"/>
    <sheet xmlns:r="http://schemas.openxmlformats.org/officeDocument/2006/relationships" name="Windows-Storefront" sheetId="5" state="visible" r:id="rId5"/>
    <sheet xmlns:r="http://schemas.openxmlformats.org/officeDocument/2006/relationships" name="Carpen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2" fontId="3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9" fontId="3" fillId="0" borderId="1" pivotButton="0" quotePrefix="0" xfId="0"/>
    <xf numFmtId="3" fontId="3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CEDAR PRAIRIE ES ADDITION - ESTIMATING PRACTICE SET - QUANTITY ANSWER KEY</t>
        </is>
      </c>
    </row>
    <row r="2">
      <c r="A2" s="2" t="inlineStr"/>
    </row>
    <row r="3">
      <c r="A3" s="2" t="inlineStr">
        <is>
          <t>Fictional project. Quantities are computed directly from the drawing model (drawset/model.py).</t>
        </is>
      </c>
    </row>
    <row r="4">
      <c r="A4" s="2" t="inlineStr">
        <is>
          <t>They are NEAT quantities (no waste) unless a waste column is shown. Use them only to check your own takeoff.</t>
        </is>
      </c>
    </row>
    <row r="5">
      <c r="A5" s="2" t="inlineStr">
        <is>
          <t>Typical takeoff conventions used:</t>
        </is>
      </c>
    </row>
    <row r="6">
      <c r="A6" s="2" t="inlineStr">
        <is>
          <t xml:space="preserve"> - Masonry areas: outside face length x height, less masonry openings (MO). Brick from 99'-0" to underside of coping 131'-0" (link 116'-4").</t>
        </is>
      </c>
    </row>
    <row r="7">
      <c r="A7" s="2" t="inlineStr">
        <is>
          <t xml:space="preserve"> - Exterior CMU: grid (centerline) length x 99'-4" to 131'-4" (link 99'-4" to 116'-8"), less MO.</t>
        </is>
      </c>
    </row>
    <row r="8">
      <c r="A8" s="2" t="inlineStr">
        <is>
          <t xml:space="preserve"> - Interior CMU: net plan area / 7 5/8" = effective centerline length (junctions counted once) x height to structure, less door MO.</t>
        </is>
      </c>
    </row>
    <row r="9">
      <c r="A9" s="2" t="inlineStr">
        <is>
          <t xml:space="preserve">   L1 height 13'-4" (100'-0" to 113'-4"), L2 height 13'-4" (114'-0" to 127'-4").</t>
        </is>
      </c>
    </row>
    <row r="10">
      <c r="A10" s="2" t="inlineStr">
        <is>
          <t xml:space="preserve"> - Flooring: clear room area inside finished wall faces, by pattern zone shown on A-111 / A-112 (no deduction for casework).</t>
        </is>
      </c>
    </row>
    <row r="11">
      <c r="A11" s="2" t="inlineStr">
        <is>
          <t xml:space="preserve"> - Base: room perimeter less door openings. Wall tile: perimeter x 7'-0" less door openings.</t>
        </is>
      </c>
    </row>
    <row r="12">
      <c r="A12" s="2" t="inlineStr">
        <is>
          <t xml:space="preserve"> - Doors/frames/hardware and windows/storefront: counts straight from the schedules.</t>
        </is>
      </c>
    </row>
    <row r="13">
      <c r="A13" s="2" t="inlineStr">
        <is>
          <t>Differences of 1-3% from a careful manual takeoff are normal (corner/junction conventions).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2" customWidth="1" min="3" max="3"/>
    <col width="12" customWidth="1" min="4" max="4"/>
    <col width="8" customWidth="1" min="5" max="5"/>
    <col width="14" customWidth="1" min="6" max="6"/>
    <col width="8" customWidth="1" min="7" max="7"/>
    <col width="40" customWidth="1" min="8" max="8"/>
  </cols>
  <sheetData>
    <row r="1">
      <c r="A1" s="1" t="inlineStr">
        <is>
          <t>MASONRY</t>
        </is>
      </c>
    </row>
    <row r="3" ht="30" customHeight="1">
      <c r="A3" s="3" t="inlineStr">
        <is>
          <t>ITEM</t>
        </is>
      </c>
      <c r="B3" s="3" t="inlineStr">
        <is>
          <t>DESCRIPTION</t>
        </is>
      </c>
      <c r="C3" s="3" t="inlineStr">
        <is>
          <t>LENGTH (FT)</t>
        </is>
      </c>
      <c r="D3" s="3" t="inlineStr">
        <is>
          <t>HEIGHT (FT)</t>
        </is>
      </c>
      <c r="E3" s="3" t="inlineStr">
        <is>
          <t>QTY</t>
        </is>
      </c>
      <c r="F3" s="3" t="inlineStr">
        <is>
          <t>AREA (SF)</t>
        </is>
      </c>
      <c r="G3" s="3" t="inlineStr">
        <is>
          <t>UNIT</t>
        </is>
      </c>
      <c r="H3" s="3" t="inlineStr">
        <is>
          <t>NOTES</t>
        </is>
      </c>
    </row>
    <row r="4">
      <c r="A4" s="4" t="inlineStr">
        <is>
          <t>A. FACE BRICK (FB-1 FIELD + FB-2 ACCENT) - GROSS FACADE AREA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NORTH (A-201/1)</t>
        </is>
      </c>
      <c r="B5" s="6" t="inlineStr">
        <is>
          <t>GROSS WALL FACE</t>
        </is>
      </c>
      <c r="C5" s="7" t="n">
        <v>151.90625</v>
      </c>
      <c r="D5" s="7" t="n">
        <v>32</v>
      </c>
      <c r="E5" s="8" t="n">
        <v>1</v>
      </c>
      <c r="F5" s="9">
        <f>C5*D5*E5</f>
        <v/>
      </c>
      <c r="G5" s="6" t="inlineStr">
        <is>
          <t>SF</t>
        </is>
      </c>
      <c r="H5" s="6" t="inlineStr"/>
    </row>
    <row r="6">
      <c r="A6" s="6" t="inlineStr">
        <is>
          <t>SOUTH (A-201/2)</t>
        </is>
      </c>
      <c r="B6" s="6" t="inlineStr">
        <is>
          <t>GROSS WALL FACE</t>
        </is>
      </c>
      <c r="C6" s="7" t="n">
        <v>151.90625</v>
      </c>
      <c r="D6" s="7" t="n">
        <v>32</v>
      </c>
      <c r="E6" s="8" t="n">
        <v>1</v>
      </c>
      <c r="F6" s="9">
        <f>C6*D6*E6</f>
        <v/>
      </c>
      <c r="G6" s="6" t="inlineStr">
        <is>
          <t>SF</t>
        </is>
      </c>
      <c r="H6" s="6" t="inlineStr"/>
    </row>
    <row r="7">
      <c r="A7" s="6" t="inlineStr">
        <is>
          <t>EAST (A-202/1)</t>
        </is>
      </c>
      <c r="B7" s="6" t="inlineStr">
        <is>
          <t>GROSS WALL FACE</t>
        </is>
      </c>
      <c r="C7" s="7" t="n">
        <v>73.90625</v>
      </c>
      <c r="D7" s="7" t="n">
        <v>32</v>
      </c>
      <c r="E7" s="8" t="n">
        <v>1</v>
      </c>
      <c r="F7" s="9">
        <f>C7*D7*E7</f>
        <v/>
      </c>
      <c r="G7" s="6" t="inlineStr">
        <is>
          <t>SF</t>
        </is>
      </c>
      <c r="H7" s="6" t="inlineStr"/>
    </row>
    <row r="8">
      <c r="A8" s="6" t="inlineStr">
        <is>
          <t>WEST (A-202/2) GROSS</t>
        </is>
      </c>
      <c r="B8" s="6" t="inlineStr">
        <is>
          <t>GROSS WALL FACE</t>
        </is>
      </c>
      <c r="C8" s="7" t="n">
        <v>73.90625</v>
      </c>
      <c r="D8" s="7" t="n">
        <v>32</v>
      </c>
      <c r="E8" s="8" t="n">
        <v>1</v>
      </c>
      <c r="F8" s="9">
        <f>C8*D8*E8</f>
        <v/>
      </c>
      <c r="G8" s="6" t="inlineStr">
        <is>
          <t>SF</t>
        </is>
      </c>
      <c r="H8" s="6" t="inlineStr"/>
    </row>
    <row r="9">
      <c r="A9" s="6" t="inlineStr">
        <is>
          <t>WEST - LESS AREA BEHIND LINK</t>
        </is>
      </c>
      <c r="B9" s="6" t="inlineStr">
        <is>
          <t>GROSS WALL FACE</t>
        </is>
      </c>
      <c r="C9" s="7" t="n">
        <v>-13.90625</v>
      </c>
      <c r="D9" s="7" t="n">
        <v>17.33333333333333</v>
      </c>
      <c r="E9" s="8" t="n">
        <v>1</v>
      </c>
      <c r="F9" s="9">
        <f>C9*D9*E9</f>
        <v/>
      </c>
      <c r="G9" s="6" t="inlineStr">
        <is>
          <t>SF</t>
        </is>
      </c>
      <c r="H9" s="6" t="inlineStr">
        <is>
          <t>link abuts main wall</t>
        </is>
      </c>
    </row>
    <row r="10">
      <c r="A10" s="6" t="inlineStr">
        <is>
          <t>LINK NORTH (A-202/3)</t>
        </is>
      </c>
      <c r="B10" s="6" t="inlineStr">
        <is>
          <t>GROSS WALL FACE</t>
        </is>
      </c>
      <c r="C10" s="7" t="n">
        <v>35.046875</v>
      </c>
      <c r="D10" s="7" t="n">
        <v>17.33333333333333</v>
      </c>
      <c r="E10" s="8" t="n">
        <v>1</v>
      </c>
      <c r="F10" s="9">
        <f>C10*D10*E10</f>
        <v/>
      </c>
      <c r="G10" s="6" t="inlineStr">
        <is>
          <t>SF</t>
        </is>
      </c>
      <c r="H10" s="6" t="inlineStr">
        <is>
          <t>existing face x -36 to main brick face</t>
        </is>
      </c>
    </row>
    <row r="11">
      <c r="A11" s="6" t="inlineStr">
        <is>
          <t>LINK SOUTH (A-202/4)</t>
        </is>
      </c>
      <c r="B11" s="6" t="inlineStr">
        <is>
          <t>GROSS WALL FACE</t>
        </is>
      </c>
      <c r="C11" s="7" t="n">
        <v>35.046875</v>
      </c>
      <c r="D11" s="7" t="n">
        <v>17.33333333333333</v>
      </c>
      <c r="E11" s="8" t="n">
        <v>1</v>
      </c>
      <c r="F11" s="9">
        <f>C11*D11*E11</f>
        <v/>
      </c>
      <c r="G11" s="6" t="inlineStr">
        <is>
          <t>SF</t>
        </is>
      </c>
      <c r="H11" s="6" t="inlineStr">
        <is>
          <t>existing face x -36 to main brick face</t>
        </is>
      </c>
    </row>
    <row r="12">
      <c r="A12" s="10" t="inlineStr">
        <is>
          <t>GROSS BRICK FACE</t>
        </is>
      </c>
      <c r="B12" s="10" t="inlineStr"/>
      <c r="C12" s="11" t="inlineStr"/>
      <c r="D12" s="11" t="inlineStr"/>
      <c r="E12" s="12" t="inlineStr"/>
      <c r="F12" s="13">
        <f>SUM(F5:F11)</f>
        <v/>
      </c>
      <c r="G12" s="10" t="inlineStr">
        <is>
          <t>SF</t>
        </is>
      </c>
      <c r="H12" s="10" t="inlineStr"/>
    </row>
    <row r="13">
      <c r="A13" s="4" t="inlineStr">
        <is>
          <t>B. DEDUCT MASONRY OPENINGS (MO)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6" t="inlineStr">
        <is>
          <t>NORTH - W-A</t>
        </is>
      </c>
      <c r="B14" s="6" t="inlineStr">
        <is>
          <t>OPENING (MO)</t>
        </is>
      </c>
      <c r="C14" s="7" t="n">
        <v>6.6667</v>
      </c>
      <c r="D14" s="7" t="n">
        <v>6.6667</v>
      </c>
      <c r="E14" s="8" t="n">
        <v>24</v>
      </c>
      <c r="F14" s="9">
        <f>-C14*D14*E14</f>
        <v/>
      </c>
      <c r="G14" s="6" t="inlineStr">
        <is>
          <t>SF</t>
        </is>
      </c>
      <c r="H14" s="6" t="inlineStr"/>
    </row>
    <row r="15">
      <c r="A15" s="6" t="inlineStr">
        <is>
          <t>NORTH - W-B</t>
        </is>
      </c>
      <c r="B15" s="6" t="inlineStr">
        <is>
          <t>OPENING (MO)</t>
        </is>
      </c>
      <c r="C15" s="7" t="n">
        <v>4</v>
      </c>
      <c r="D15" s="7" t="n">
        <v>6.6667</v>
      </c>
      <c r="E15" s="8" t="n">
        <v>4</v>
      </c>
      <c r="F15" s="9">
        <f>-C15*D15*E15</f>
        <v/>
      </c>
      <c r="G15" s="6" t="inlineStr">
        <is>
          <t>SF</t>
        </is>
      </c>
      <c r="H15" s="6" t="inlineStr"/>
    </row>
    <row r="16">
      <c r="A16" s="6" t="inlineStr">
        <is>
          <t>NORTH - W-C</t>
        </is>
      </c>
      <c r="B16" s="6" t="inlineStr">
        <is>
          <t>OPENING (MO)</t>
        </is>
      </c>
      <c r="C16" s="7" t="n">
        <v>4</v>
      </c>
      <c r="D16" s="7" t="n">
        <v>18.6667</v>
      </c>
      <c r="E16" s="8" t="n">
        <v>1</v>
      </c>
      <c r="F16" s="9">
        <f>-C16*D16*E16</f>
        <v/>
      </c>
      <c r="G16" s="6" t="inlineStr">
        <is>
          <t>SF</t>
        </is>
      </c>
      <c r="H16" s="6" t="inlineStr"/>
    </row>
    <row r="17">
      <c r="A17" s="6" t="inlineStr">
        <is>
          <t>SOUTH - DOOR F3</t>
        </is>
      </c>
      <c r="B17" s="6" t="inlineStr">
        <is>
          <t>OPENING (MO)</t>
        </is>
      </c>
      <c r="C17" s="7" t="n">
        <v>6.3333</v>
      </c>
      <c r="D17" s="7" t="n">
        <v>7.3333</v>
      </c>
      <c r="E17" s="8" t="n">
        <v>1</v>
      </c>
      <c r="F17" s="9">
        <f>-C17*D17*E17</f>
        <v/>
      </c>
      <c r="G17" s="6" t="inlineStr">
        <is>
          <t>SF</t>
        </is>
      </c>
      <c r="H17" s="6" t="inlineStr"/>
    </row>
    <row r="18">
      <c r="A18" s="6" t="inlineStr">
        <is>
          <t>SOUTH - LV-1</t>
        </is>
      </c>
      <c r="B18" s="6" t="inlineStr">
        <is>
          <t>OPENING (MO)</t>
        </is>
      </c>
      <c r="C18" s="7" t="n">
        <v>4</v>
      </c>
      <c r="D18" s="7" t="n">
        <v>4</v>
      </c>
      <c r="E18" s="8" t="n">
        <v>2</v>
      </c>
      <c r="F18" s="9">
        <f>-C18*D18*E18</f>
        <v/>
      </c>
      <c r="G18" s="6" t="inlineStr">
        <is>
          <t>SF</t>
        </is>
      </c>
      <c r="H18" s="6" t="inlineStr"/>
    </row>
    <row r="19">
      <c r="A19" s="6" t="inlineStr">
        <is>
          <t>SOUTH - W-A</t>
        </is>
      </c>
      <c r="B19" s="6" t="inlineStr">
        <is>
          <t>OPENING (MO)</t>
        </is>
      </c>
      <c r="C19" s="7" t="n">
        <v>6.6667</v>
      </c>
      <c r="D19" s="7" t="n">
        <v>6.6667</v>
      </c>
      <c r="E19" s="8" t="n">
        <v>18</v>
      </c>
      <c r="F19" s="9">
        <f>-C19*D19*E19</f>
        <v/>
      </c>
      <c r="G19" s="6" t="inlineStr">
        <is>
          <t>SF</t>
        </is>
      </c>
      <c r="H19" s="6" t="inlineStr"/>
    </row>
    <row r="20">
      <c r="A20" s="6" t="inlineStr">
        <is>
          <t>SOUTH - W-B</t>
        </is>
      </c>
      <c r="B20" s="6" t="inlineStr">
        <is>
          <t>OPENING (MO)</t>
        </is>
      </c>
      <c r="C20" s="7" t="n">
        <v>4</v>
      </c>
      <c r="D20" s="7" t="n">
        <v>6.6667</v>
      </c>
      <c r="E20" s="8" t="n">
        <v>2</v>
      </c>
      <c r="F20" s="9">
        <f>-C20*D20*E20</f>
        <v/>
      </c>
      <c r="G20" s="6" t="inlineStr">
        <is>
          <t>SF</t>
        </is>
      </c>
      <c r="H20" s="6" t="inlineStr"/>
    </row>
    <row r="21">
      <c r="A21" s="6" t="inlineStr">
        <is>
          <t>SOUTH - W-C</t>
        </is>
      </c>
      <c r="B21" s="6" t="inlineStr">
        <is>
          <t>OPENING (MO)</t>
        </is>
      </c>
      <c r="C21" s="7" t="n">
        <v>4</v>
      </c>
      <c r="D21" s="7" t="n">
        <v>18.6667</v>
      </c>
      <c r="E21" s="8" t="n">
        <v>1</v>
      </c>
      <c r="F21" s="9">
        <f>-C21*D21*E21</f>
        <v/>
      </c>
      <c r="G21" s="6" t="inlineStr">
        <is>
          <t>SF</t>
        </is>
      </c>
      <c r="H21" s="6" t="inlineStr"/>
    </row>
    <row r="22">
      <c r="A22" s="6" t="inlineStr">
        <is>
          <t>EAST - DOOR F1</t>
        </is>
      </c>
      <c r="B22" s="6" t="inlineStr">
        <is>
          <t>OPENING (MO)</t>
        </is>
      </c>
      <c r="C22" s="7" t="n">
        <v>3.3333</v>
      </c>
      <c r="D22" s="7" t="n">
        <v>7.3333</v>
      </c>
      <c r="E22" s="8" t="n">
        <v>1</v>
      </c>
      <c r="F22" s="9">
        <f>-C22*D22*E22</f>
        <v/>
      </c>
      <c r="G22" s="6" t="inlineStr">
        <is>
          <t>SF</t>
        </is>
      </c>
      <c r="H22" s="6" t="inlineStr"/>
    </row>
    <row r="23">
      <c r="A23" s="6" t="inlineStr">
        <is>
          <t>EAST - SF-1</t>
        </is>
      </c>
      <c r="B23" s="6" t="inlineStr">
        <is>
          <t>OPENING (MO)</t>
        </is>
      </c>
      <c r="C23" s="7" t="n">
        <v>10.6667</v>
      </c>
      <c r="D23" s="7" t="n">
        <v>9.333299999999999</v>
      </c>
      <c r="E23" s="8" t="n">
        <v>1</v>
      </c>
      <c r="F23" s="9">
        <f>-C23*D23*E23</f>
        <v/>
      </c>
      <c r="G23" s="6" t="inlineStr">
        <is>
          <t>SF</t>
        </is>
      </c>
      <c r="H23" s="6" t="inlineStr"/>
    </row>
    <row r="24">
      <c r="A24" s="6" t="inlineStr">
        <is>
          <t>EAST - SF-2</t>
        </is>
      </c>
      <c r="B24" s="6" t="inlineStr">
        <is>
          <t>OPENING (MO)</t>
        </is>
      </c>
      <c r="C24" s="7" t="n">
        <v>10.6667</v>
      </c>
      <c r="D24" s="7" t="n">
        <v>6.6667</v>
      </c>
      <c r="E24" s="8" t="n">
        <v>1</v>
      </c>
      <c r="F24" s="9">
        <f>-C24*D24*E24</f>
        <v/>
      </c>
      <c r="G24" s="6" t="inlineStr">
        <is>
          <t>SF</t>
        </is>
      </c>
      <c r="H24" s="6" t="inlineStr"/>
    </row>
    <row r="25">
      <c r="A25" s="6" t="inlineStr">
        <is>
          <t>EAST - W-A</t>
        </is>
      </c>
      <c r="B25" s="6" t="inlineStr">
        <is>
          <t>OPENING (MO)</t>
        </is>
      </c>
      <c r="C25" s="7" t="n">
        <v>6.6667</v>
      </c>
      <c r="D25" s="7" t="n">
        <v>6.6667</v>
      </c>
      <c r="E25" s="8" t="n">
        <v>2</v>
      </c>
      <c r="F25" s="9">
        <f>-C25*D25*E25</f>
        <v/>
      </c>
      <c r="G25" s="6" t="inlineStr">
        <is>
          <t>SF</t>
        </is>
      </c>
      <c r="H25" s="6" t="inlineStr"/>
    </row>
    <row r="26">
      <c r="A26" s="6" t="inlineStr">
        <is>
          <t>WEST - DOOR F1</t>
        </is>
      </c>
      <c r="B26" s="6" t="inlineStr">
        <is>
          <t>OPENING (MO)</t>
        </is>
      </c>
      <c r="C26" s="7" t="n">
        <v>3.3333</v>
      </c>
      <c r="D26" s="7" t="n">
        <v>7.3333</v>
      </c>
      <c r="E26" s="8" t="n">
        <v>1</v>
      </c>
      <c r="F26" s="9">
        <f>-C26*D26*E26</f>
        <v/>
      </c>
      <c r="G26" s="6" t="inlineStr">
        <is>
          <t>SF</t>
        </is>
      </c>
      <c r="H26" s="6" t="inlineStr"/>
    </row>
    <row r="27">
      <c r="A27" s="6" t="inlineStr">
        <is>
          <t>WEST - SF-2</t>
        </is>
      </c>
      <c r="B27" s="6" t="inlineStr">
        <is>
          <t>OPENING (MO)</t>
        </is>
      </c>
      <c r="C27" s="7" t="n">
        <v>10.6667</v>
      </c>
      <c r="D27" s="7" t="n">
        <v>6.6667</v>
      </c>
      <c r="E27" s="8" t="n">
        <v>1</v>
      </c>
      <c r="F27" s="9">
        <f>-C27*D27*E27</f>
        <v/>
      </c>
      <c r="G27" s="6" t="inlineStr">
        <is>
          <t>SF</t>
        </is>
      </c>
      <c r="H27" s="6" t="inlineStr"/>
    </row>
    <row r="28">
      <c r="A28" s="6" t="inlineStr">
        <is>
          <t>WEST - W-A</t>
        </is>
      </c>
      <c r="B28" s="6" t="inlineStr">
        <is>
          <t>OPENING (MO)</t>
        </is>
      </c>
      <c r="C28" s="7" t="n">
        <v>6.6667</v>
      </c>
      <c r="D28" s="7" t="n">
        <v>6.6667</v>
      </c>
      <c r="E28" s="8" t="n">
        <v>2</v>
      </c>
      <c r="F28" s="9">
        <f>-C28*D28*E28</f>
        <v/>
      </c>
      <c r="G28" s="6" t="inlineStr">
        <is>
          <t>SF</t>
        </is>
      </c>
      <c r="H28" s="6" t="inlineStr"/>
    </row>
    <row r="29">
      <c r="A29" s="6" t="inlineStr">
        <is>
          <t>LINK NORTH - SF-3</t>
        </is>
      </c>
      <c r="B29" s="6" t="inlineStr">
        <is>
          <t>OPENING (MO)</t>
        </is>
      </c>
      <c r="C29" s="7" t="n">
        <v>32</v>
      </c>
      <c r="D29" s="7" t="n">
        <v>9.333299999999999</v>
      </c>
      <c r="E29" s="8" t="n">
        <v>1</v>
      </c>
      <c r="F29" s="9">
        <f>-C29*D29*E29</f>
        <v/>
      </c>
      <c r="G29" s="6" t="inlineStr">
        <is>
          <t>SF</t>
        </is>
      </c>
      <c r="H29" s="6" t="inlineStr"/>
    </row>
    <row r="30">
      <c r="A30" s="6" t="inlineStr">
        <is>
          <t>LINK SOUTH - SF-3</t>
        </is>
      </c>
      <c r="B30" s="6" t="inlineStr">
        <is>
          <t>OPENING (MO)</t>
        </is>
      </c>
      <c r="C30" s="7" t="n">
        <v>32</v>
      </c>
      <c r="D30" s="7" t="n">
        <v>9.333299999999999</v>
      </c>
      <c r="E30" s="8" t="n">
        <v>1</v>
      </c>
      <c r="F30" s="9">
        <f>-C30*D30*E30</f>
        <v/>
      </c>
      <c r="G30" s="6" t="inlineStr">
        <is>
          <t>SF</t>
        </is>
      </c>
      <c r="H30" s="6" t="inlineStr"/>
    </row>
    <row r="31">
      <c r="A31" s="10" t="inlineStr">
        <is>
          <t>TOTAL OPENINGS</t>
        </is>
      </c>
      <c r="B31" s="10" t="inlineStr"/>
      <c r="C31" s="11" t="inlineStr"/>
      <c r="D31" s="11" t="inlineStr"/>
      <c r="E31" s="12" t="inlineStr"/>
      <c r="F31" s="13">
        <f>SUM(F14:F30)</f>
        <v/>
      </c>
      <c r="G31" s="10" t="inlineStr">
        <is>
          <t>SF</t>
        </is>
      </c>
      <c r="H31" s="10" t="inlineStr"/>
    </row>
    <row r="32">
      <c r="A32" s="4" t="inlineStr">
        <is>
          <t>C. CAST STONE (DEDUCT FROM BRICK)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6" t="inlineStr">
        <is>
          <t>CS-2 CAST STONE BAND @ L2</t>
        </is>
      </c>
      <c r="B33" s="6" t="inlineStr">
        <is>
          <t>8" HIGH, 113'-4" TO 114'-0"</t>
        </is>
      </c>
      <c r="C33" s="7" t="n">
        <v>429.71875</v>
      </c>
      <c r="D33" s="7" t="n">
        <v>0.6666666666666666</v>
      </c>
      <c r="E33" s="8" t="n">
        <v>1</v>
      </c>
      <c r="F33" s="9">
        <f>-C33*D33*E33</f>
        <v/>
      </c>
      <c r="G33" s="6" t="inlineStr">
        <is>
          <t>SF</t>
        </is>
      </c>
      <c r="H33" s="6" t="inlineStr">
        <is>
          <t>perimeter less 2 stair W-C strips less link</t>
        </is>
      </c>
    </row>
    <row r="34">
      <c r="A34" s="6" t="inlineStr">
        <is>
          <t>CS-1 SILL 4.00' MO</t>
        </is>
      </c>
      <c r="B34" s="6" t="inlineStr">
        <is>
          <t>4" HIGH x MO WIDTH + 4" (2" EACH END)</t>
        </is>
      </c>
      <c r="C34" s="7" t="n">
        <v>4.333333333333333</v>
      </c>
      <c r="D34" s="7" t="n">
        <v>0.3333333333333333</v>
      </c>
      <c r="E34" s="8" t="n">
        <v>6</v>
      </c>
      <c r="F34" s="9">
        <f>-C34*D34*E34</f>
        <v/>
      </c>
      <c r="G34" s="6" t="inlineStr">
        <is>
          <t>SF</t>
        </is>
      </c>
      <c r="H34" s="6" t="inlineStr">
        <is>
          <t>count = windows of this width</t>
        </is>
      </c>
    </row>
    <row r="35">
      <c r="A35" s="6" t="inlineStr">
        <is>
          <t>CS-1 SILL 6.67' MO</t>
        </is>
      </c>
      <c r="B35" s="6" t="inlineStr">
        <is>
          <t>4" HIGH x MO WIDTH + 4" (2" EACH END)</t>
        </is>
      </c>
      <c r="C35" s="7" t="n">
        <v>7.000033333333333</v>
      </c>
      <c r="D35" s="7" t="n">
        <v>0.3333333333333333</v>
      </c>
      <c r="E35" s="8" t="n">
        <v>46</v>
      </c>
      <c r="F35" s="9">
        <f>-C35*D35*E35</f>
        <v/>
      </c>
      <c r="G35" s="6" t="inlineStr">
        <is>
          <t>SF</t>
        </is>
      </c>
      <c r="H35" s="6" t="inlineStr">
        <is>
          <t>count = windows of this width</t>
        </is>
      </c>
    </row>
    <row r="36">
      <c r="A36" s="6" t="inlineStr">
        <is>
          <t>CS-1 SILL 10.67' MO</t>
        </is>
      </c>
      <c r="B36" s="6" t="inlineStr">
        <is>
          <t>4" HIGH x MO WIDTH + 4" (2" EACH END)</t>
        </is>
      </c>
      <c r="C36" s="7" t="n">
        <v>11.00003333333333</v>
      </c>
      <c r="D36" s="7" t="n">
        <v>0.3333333333333333</v>
      </c>
      <c r="E36" s="8" t="n">
        <v>2</v>
      </c>
      <c r="F36" s="9">
        <f>-C36*D36*E36</f>
        <v/>
      </c>
      <c r="G36" s="6" t="inlineStr">
        <is>
          <t>SF</t>
        </is>
      </c>
      <c r="H36" s="6" t="inlineStr">
        <is>
          <t>count = windows of this width</t>
        </is>
      </c>
    </row>
    <row r="37">
      <c r="A37" s="10" t="inlineStr">
        <is>
          <t>NET FACE BRICK</t>
        </is>
      </c>
      <c r="B37" s="10" t="inlineStr">
        <is>
          <t>GROSS - OPENINGS - CAST STONE</t>
        </is>
      </c>
      <c r="C37" s="11" t="inlineStr"/>
      <c r="D37" s="11" t="inlineStr"/>
      <c r="E37" s="12" t="inlineStr"/>
      <c r="F37" s="13">
        <f>F12+F31+F33+SUM(F34:F36)</f>
        <v/>
      </c>
      <c r="G37" s="10" t="inlineStr">
        <is>
          <t>SF</t>
        </is>
      </c>
      <c r="H37" s="10" t="inlineStr">
        <is>
          <t>FB-1 + FB-2</t>
        </is>
      </c>
    </row>
    <row r="38">
      <c r="A38" s="6" t="inlineStr">
        <is>
          <t>FB-2 BASE BAND</t>
        </is>
      </c>
      <c r="B38" s="6" t="inlineStr">
        <is>
          <t>6 COURSES 99'-4" TO 100'-8" (+1 COURSE BELOW GRADE)</t>
        </is>
      </c>
      <c r="C38" s="7" t="n">
        <v>422.0520833333333</v>
      </c>
      <c r="D38" s="7" t="n">
        <v>1.666666666666667</v>
      </c>
      <c r="E38" s="8" t="n">
        <v>1</v>
      </c>
      <c r="F38" s="9">
        <f>C38*D38*E38</f>
        <v/>
      </c>
      <c r="G38" s="6" t="inlineStr">
        <is>
          <t>SF</t>
        </is>
      </c>
      <c r="H38" s="6" t="inlineStr">
        <is>
          <t>99'-0" to 100'-8"; less openings at grade</t>
        </is>
      </c>
    </row>
    <row r="39">
      <c r="A39" s="6" t="inlineStr">
        <is>
          <t>FB-2 SOLDIER COURSE AT HEADS</t>
        </is>
      </c>
      <c r="B39" s="6" t="inlineStr">
        <is>
          <t>54 OPENINGS, MO + 4" EACH SIDE</t>
        </is>
      </c>
      <c r="C39" s="7" t="n">
        <v>388</v>
      </c>
      <c r="D39" s="7" t="n">
        <v>0.6666666666666666</v>
      </c>
      <c r="E39" s="8" t="n">
        <v>1</v>
      </c>
      <c r="F39" s="9">
        <f>C39*D39*E39</f>
        <v/>
      </c>
      <c r="G39" s="6" t="inlineStr">
        <is>
          <t>SF</t>
        </is>
      </c>
      <c r="H39" s="6" t="inlineStr">
        <is>
          <t>W-A, W-B, SF-2 heads</t>
        </is>
      </c>
    </row>
    <row r="40">
      <c r="A40" s="6" t="inlineStr">
        <is>
          <t>MODULAR BRICK COUNT (REFERENCE)</t>
        </is>
      </c>
      <c r="B40" s="6" t="inlineStr">
        <is>
          <t>6.75 BRICK / SF (3/8" JOINTS), NO WASTE</t>
        </is>
      </c>
      <c r="C40" s="7" t="inlineStr"/>
      <c r="D40" s="7" t="inlineStr"/>
      <c r="E40" s="8" t="inlineStr"/>
      <c r="F40" s="9">
        <f>F37*6.75</f>
        <v/>
      </c>
      <c r="G40" s="6" t="inlineStr">
        <is>
          <t>EA</t>
        </is>
      </c>
      <c r="H40" s="6" t="inlineStr">
        <is>
          <t>add 3-5% waste</t>
        </is>
      </c>
    </row>
    <row r="41">
      <c r="A41" s="6" t="inlineStr">
        <is>
          <t>CS-2 BAND LENGTH</t>
        </is>
      </c>
      <c r="B41" s="6" t="inlineStr"/>
      <c r="C41" s="7" t="n">
        <v>429.71875</v>
      </c>
      <c r="D41" s="7" t="inlineStr"/>
      <c r="E41" s="8" t="inlineStr"/>
      <c r="F41" s="9">
        <f>C41</f>
        <v/>
      </c>
      <c r="G41" s="6" t="inlineStr">
        <is>
          <t>LF</t>
        </is>
      </c>
      <c r="H41" s="6" t="inlineStr"/>
    </row>
    <row r="42">
      <c r="A42" s="6" t="inlineStr">
        <is>
          <t>CS-1 SILLS</t>
        </is>
      </c>
      <c r="B42" s="6" t="inlineStr"/>
      <c r="C42" s="7" t="inlineStr"/>
      <c r="D42" s="7" t="inlineStr"/>
      <c r="E42" s="8" t="n">
        <v>54</v>
      </c>
      <c r="F42" s="9" t="inlineStr"/>
      <c r="G42" s="6" t="inlineStr">
        <is>
          <t>EA</t>
        </is>
      </c>
      <c r="H42" s="6" t="inlineStr">
        <is>
          <t>widths: 4.00, 6.67, 10.67</t>
        </is>
      </c>
    </row>
    <row r="44">
      <c r="A44" s="4" t="inlineStr">
        <is>
          <t>D. EXTERIOR 8" CMU BACKUP (EW-1) - GRID LENGTH x HEIGHT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s="6" t="inlineStr">
        <is>
          <t>MAIN BLOCK PERIMETER</t>
        </is>
      </c>
      <c r="B45" s="6" t="inlineStr">
        <is>
          <t>GRID LINES 1-6 / A-D</t>
        </is>
      </c>
      <c r="C45" s="7" t="n">
        <v>444</v>
      </c>
      <c r="D45" s="7" t="n">
        <v>32.00000000000001</v>
      </c>
      <c r="E45" s="8" t="n">
        <v>1</v>
      </c>
      <c r="F45" s="9">
        <f>C45*D45*E45</f>
        <v/>
      </c>
      <c r="G45" s="6" t="inlineStr">
        <is>
          <t>SF</t>
        </is>
      </c>
      <c r="H45" s="6" t="inlineStr">
        <is>
          <t>99'-4" to 131'-4"</t>
        </is>
      </c>
    </row>
    <row r="46">
      <c r="A46" s="6" t="inlineStr">
        <is>
          <t>LESS: LINK OPENING AT GRID 1 (L1)</t>
        </is>
      </c>
      <c r="B46" s="6" t="inlineStr">
        <is>
          <t>WALL STARTS ON L2 FRAMING ABOVE LINK</t>
        </is>
      </c>
      <c r="C46" s="7" t="n">
        <v>-12</v>
      </c>
      <c r="D46" s="7" t="n">
        <v>14.66666666666667</v>
      </c>
      <c r="E46" s="8" t="n">
        <v>1</v>
      </c>
      <c r="F46" s="9">
        <f>C46*D46*E46</f>
        <v/>
      </c>
      <c r="G46" s="6" t="inlineStr">
        <is>
          <t>SF</t>
        </is>
      </c>
      <c r="H46" s="6" t="inlineStr">
        <is>
          <t>x = 0, y 30-42</t>
        </is>
      </c>
    </row>
    <row r="47">
      <c r="A47" s="6" t="inlineStr">
        <is>
          <t>LINK NORTH + SOUTH WALLS</t>
        </is>
      </c>
      <c r="B47" s="6" t="inlineStr">
        <is>
          <t>x -36 TO 0</t>
        </is>
      </c>
      <c r="C47" s="7" t="n">
        <v>72</v>
      </c>
      <c r="D47" s="7" t="n">
        <v>17.33333333333334</v>
      </c>
      <c r="E47" s="8" t="n">
        <v>1</v>
      </c>
      <c r="F47" s="9">
        <f>C47*D47*E47</f>
        <v/>
      </c>
      <c r="G47" s="6" t="inlineStr">
        <is>
          <t>SF</t>
        </is>
      </c>
      <c r="H47" s="6" t="inlineStr"/>
    </row>
    <row r="48">
      <c r="A48" s="6" t="inlineStr">
        <is>
          <t>LESS: EXTERIOR OPENINGS (MO)</t>
        </is>
      </c>
      <c r="B48" s="6" t="inlineStr">
        <is>
          <t>ALL WINDOWS, STOREFRONT, LOUVERS, DOORS</t>
        </is>
      </c>
      <c r="C48" s="7" t="n">
        <v>3320.222222222224</v>
      </c>
      <c r="D48" s="7" t="n">
        <v>1</v>
      </c>
      <c r="E48" s="8" t="n">
        <v>-1</v>
      </c>
      <c r="F48" s="9">
        <f>C48*D48*E48</f>
        <v/>
      </c>
      <c r="G48" s="6" t="inlineStr">
        <is>
          <t>SF</t>
        </is>
      </c>
      <c r="H48" s="6" t="inlineStr">
        <is>
          <t>same MO list as section B</t>
        </is>
      </c>
    </row>
    <row r="49">
      <c r="A49" s="10" t="inlineStr">
        <is>
          <t>NET EXTERIOR CMU</t>
        </is>
      </c>
      <c r="B49" s="10" t="inlineStr"/>
      <c r="C49" s="11" t="inlineStr"/>
      <c r="D49" s="11" t="inlineStr"/>
      <c r="E49" s="12" t="inlineStr"/>
      <c r="F49" s="13">
        <f>SUM(F45:F48)</f>
        <v/>
      </c>
      <c r="G49" s="10" t="inlineStr">
        <is>
          <t>SF</t>
        </is>
      </c>
      <c r="H49" s="10" t="inlineStr">
        <is>
          <t>x 1.125 units/SF</t>
        </is>
      </c>
    </row>
    <row r="51">
      <c r="A51" s="4" t="inlineStr">
        <is>
          <t>E. INTERIOR 8" CMU PARTITIONS (P1 / P2)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s="6" t="inlineStr">
        <is>
          <t>L1 P1</t>
        </is>
      </c>
      <c r="B52" s="6" t="inlineStr">
        <is>
          <t>8" CMU, PAINTED, TO UNDERSIDE OF STRUCTURE</t>
        </is>
      </c>
      <c r="C52" s="7" t="n">
        <v>566.9453125000009</v>
      </c>
      <c r="D52" s="7" t="n">
        <v>13.33333333333333</v>
      </c>
      <c r="E52" s="8" t="n">
        <v>1</v>
      </c>
      <c r="F52" s="9">
        <f>C52*D52*E52</f>
        <v/>
      </c>
      <c r="G52" s="6" t="inlineStr">
        <is>
          <t>SF</t>
        </is>
      </c>
      <c r="H52" s="6" t="inlineStr">
        <is>
          <t>effective centerline LF</t>
        </is>
      </c>
    </row>
    <row r="53">
      <c r="A53" s="6" t="inlineStr">
        <is>
          <t>L1 P1 LESS DOOR / ELEV. MO</t>
        </is>
      </c>
      <c r="B53" s="6" t="inlineStr">
        <is>
          <t>14 OPENINGS</t>
        </is>
      </c>
      <c r="C53" s="7" t="n">
        <v>432.6666666666665</v>
      </c>
      <c r="D53" s="7" t="n">
        <v>1</v>
      </c>
      <c r="E53" s="8" t="n">
        <v>-1</v>
      </c>
      <c r="F53" s="9">
        <f>C53*D53*E53</f>
        <v/>
      </c>
      <c r="G53" s="6" t="inlineStr">
        <is>
          <t>SF</t>
        </is>
      </c>
      <c r="H53" s="6" t="inlineStr"/>
    </row>
    <row r="54">
      <c r="A54" s="10" t="inlineStr">
        <is>
          <t>L1 P1 NET</t>
        </is>
      </c>
      <c r="B54" s="10" t="inlineStr"/>
      <c r="C54" s="11" t="inlineStr"/>
      <c r="D54" s="11" t="inlineStr"/>
      <c r="E54" s="12" t="inlineStr"/>
      <c r="F54" s="13">
        <f>F52+F53</f>
        <v/>
      </c>
      <c r="G54" s="10" t="inlineStr">
        <is>
          <t>SF</t>
        </is>
      </c>
      <c r="H54" s="10" t="inlineStr"/>
    </row>
    <row r="55">
      <c r="A55" s="6" t="inlineStr">
        <is>
          <t>L1 P2</t>
        </is>
      </c>
      <c r="B55" s="6" t="inlineStr">
        <is>
          <t>8" CMU, 1-HOUR FIRE-RESISTANCE RATED, TO UNDERSI</t>
        </is>
      </c>
      <c r="C55" s="7" t="n">
        <v>117.7760416666675</v>
      </c>
      <c r="D55" s="7" t="n">
        <v>13.33333333333333</v>
      </c>
      <c r="E55" s="8" t="n">
        <v>1</v>
      </c>
      <c r="F55" s="9">
        <f>C55*D55*E55</f>
        <v/>
      </c>
      <c r="G55" s="6" t="inlineStr">
        <is>
          <t>SF</t>
        </is>
      </c>
      <c r="H55" s="6" t="inlineStr">
        <is>
          <t>effective centerline LF</t>
        </is>
      </c>
    </row>
    <row r="56">
      <c r="A56" s="6" t="inlineStr">
        <is>
          <t>L1 P2 LESS DOOR / ELEV. MO</t>
        </is>
      </c>
      <c r="B56" s="6" t="inlineStr">
        <is>
          <t>3 OPENINGS</t>
        </is>
      </c>
      <c r="C56" s="7" t="n">
        <v>84.66666666666666</v>
      </c>
      <c r="D56" s="7" t="n">
        <v>1</v>
      </c>
      <c r="E56" s="8" t="n">
        <v>-1</v>
      </c>
      <c r="F56" s="9">
        <f>C56*D56*E56</f>
        <v/>
      </c>
      <c r="G56" s="6" t="inlineStr">
        <is>
          <t>SF</t>
        </is>
      </c>
      <c r="H56" s="6" t="inlineStr"/>
    </row>
    <row r="57">
      <c r="A57" s="10" t="inlineStr">
        <is>
          <t>L1 P2 NET</t>
        </is>
      </c>
      <c r="B57" s="10" t="inlineStr"/>
      <c r="C57" s="11" t="inlineStr"/>
      <c r="D57" s="11" t="inlineStr"/>
      <c r="E57" s="12" t="inlineStr"/>
      <c r="F57" s="13">
        <f>F55+F56</f>
        <v/>
      </c>
      <c r="G57" s="10" t="inlineStr">
        <is>
          <t>SF</t>
        </is>
      </c>
      <c r="H57" s="10" t="inlineStr"/>
    </row>
    <row r="58">
      <c r="A58" s="6" t="inlineStr">
        <is>
          <t>L2 P1</t>
        </is>
      </c>
      <c r="B58" s="6" t="inlineStr">
        <is>
          <t>8" CMU, PAINTED, TO UNDERSIDE OF STRUCTURE</t>
        </is>
      </c>
      <c r="C58" s="7" t="n">
        <v>555.5807291666672</v>
      </c>
      <c r="D58" s="7" t="n">
        <v>13.33333333333333</v>
      </c>
      <c r="E58" s="8" t="n">
        <v>1</v>
      </c>
      <c r="F58" s="9">
        <f>C58*D58*E58</f>
        <v/>
      </c>
      <c r="G58" s="6" t="inlineStr">
        <is>
          <t>SF</t>
        </is>
      </c>
      <c r="H58" s="6" t="inlineStr">
        <is>
          <t>effective centerline LF</t>
        </is>
      </c>
    </row>
    <row r="59">
      <c r="A59" s="6" t="inlineStr">
        <is>
          <t>L2 P1 LESS DOOR / ELEV. MO</t>
        </is>
      </c>
      <c r="B59" s="6" t="inlineStr">
        <is>
          <t>13 OPENINGS</t>
        </is>
      </c>
      <c r="C59" s="7" t="n">
        <v>386.2222222222221</v>
      </c>
      <c r="D59" s="7" t="n">
        <v>1</v>
      </c>
      <c r="E59" s="8" t="n">
        <v>-1</v>
      </c>
      <c r="F59" s="9">
        <f>C59*D59*E59</f>
        <v/>
      </c>
      <c r="G59" s="6" t="inlineStr">
        <is>
          <t>SF</t>
        </is>
      </c>
      <c r="H59" s="6" t="inlineStr"/>
    </row>
    <row r="60">
      <c r="A60" s="10" t="inlineStr">
        <is>
          <t>L2 P1 NET</t>
        </is>
      </c>
      <c r="B60" s="10" t="inlineStr"/>
      <c r="C60" s="11" t="inlineStr"/>
      <c r="D60" s="11" t="inlineStr"/>
      <c r="E60" s="12" t="inlineStr"/>
      <c r="F60" s="13">
        <f>F58+F59</f>
        <v/>
      </c>
      <c r="G60" s="10" t="inlineStr">
        <is>
          <t>SF</t>
        </is>
      </c>
      <c r="H60" s="10" t="inlineStr"/>
    </row>
    <row r="61">
      <c r="A61" s="6" t="inlineStr">
        <is>
          <t>L2 P2</t>
        </is>
      </c>
      <c r="B61" s="6" t="inlineStr">
        <is>
          <t>8" CMU, 1-HOUR FIRE-RESISTANCE RATED, TO UNDERSI</t>
        </is>
      </c>
      <c r="C61" s="7" t="n">
        <v>117.7760416666675</v>
      </c>
      <c r="D61" s="7" t="n">
        <v>13.33333333333333</v>
      </c>
      <c r="E61" s="8" t="n">
        <v>1</v>
      </c>
      <c r="F61" s="9">
        <f>C61*D61*E61</f>
        <v/>
      </c>
      <c r="G61" s="6" t="inlineStr">
        <is>
          <t>SF</t>
        </is>
      </c>
      <c r="H61" s="6" t="inlineStr">
        <is>
          <t>effective centerline LF</t>
        </is>
      </c>
    </row>
    <row r="62">
      <c r="A62" s="6" t="inlineStr">
        <is>
          <t>L2 P2 LESS DOOR / ELEV. MO</t>
        </is>
      </c>
      <c r="B62" s="6" t="inlineStr">
        <is>
          <t>3 OPENINGS</t>
        </is>
      </c>
      <c r="C62" s="7" t="n">
        <v>84.66666666666666</v>
      </c>
      <c r="D62" s="7" t="n">
        <v>1</v>
      </c>
      <c r="E62" s="8" t="n">
        <v>-1</v>
      </c>
      <c r="F62" s="9">
        <f>C62*D62*E62</f>
        <v/>
      </c>
      <c r="G62" s="6" t="inlineStr">
        <is>
          <t>SF</t>
        </is>
      </c>
      <c r="H62" s="6" t="inlineStr"/>
    </row>
    <row r="63">
      <c r="A63" s="10" t="inlineStr">
        <is>
          <t>L2 P2 NET</t>
        </is>
      </c>
      <c r="B63" s="10" t="inlineStr"/>
      <c r="C63" s="11" t="inlineStr"/>
      <c r="D63" s="11" t="inlineStr"/>
      <c r="E63" s="12" t="inlineStr"/>
      <c r="F63" s="13">
        <f>F61+F62</f>
        <v/>
      </c>
      <c r="G63" s="10" t="inlineStr">
        <is>
          <t>SF</t>
        </is>
      </c>
      <c r="H63" s="10" t="inlineStr"/>
    </row>
    <row r="64">
      <c r="A64" s="6" t="inlineStr">
        <is>
          <t>NOTE</t>
        </is>
      </c>
      <c r="B64" s="6" t="inlineStr">
        <is>
          <t>CMU units = SF x 1.125; mortar about 8.5 CF per 100 SF; joint reinforcing @ 16" = 0.75 LF/SF</t>
        </is>
      </c>
      <c r="C64" s="6" t="inlineStr"/>
      <c r="D64" s="6" t="inlineStr"/>
      <c r="E64" s="6" t="inlineStr"/>
      <c r="F64" s="6" t="inlineStr"/>
      <c r="G64" s="6" t="inlineStr"/>
      <c r="H64" s="6" t="inlineStr"/>
    </row>
    <row r="66">
      <c r="A66" s="4" t="inlineStr">
        <is>
          <t>F. LINTELS (COUNT BY OPENING WIDTH) - SEE S-302 SCHEDULE</t>
        </is>
      </c>
      <c r="B66" s="5" t="n"/>
      <c r="C66" s="5" t="n"/>
      <c r="D66" s="5" t="n"/>
      <c r="E66" s="5" t="n"/>
      <c r="F66" s="5" t="n"/>
      <c r="G66" s="5" t="n"/>
      <c r="H66" s="5" t="n"/>
    </row>
    <row r="67">
      <c r="A67" s="6" t="inlineStr">
        <is>
          <t>EXTERIOR (BRICK ANGLE + CMU LINTEL)</t>
        </is>
      </c>
      <c r="B67" s="6" t="inlineStr">
        <is>
          <t>MO 3.333 FT</t>
        </is>
      </c>
      <c r="C67" s="7" t="n">
        <v>3.333</v>
      </c>
      <c r="D67" s="7" t="inlineStr"/>
      <c r="E67" s="8" t="n">
        <v>2</v>
      </c>
      <c r="F67" s="9" t="inlineStr"/>
      <c r="G67" s="6" t="inlineStr">
        <is>
          <t>EA</t>
        </is>
      </c>
      <c r="H67" s="6" t="inlineStr"/>
    </row>
    <row r="68">
      <c r="A68" s="6" t="inlineStr">
        <is>
          <t>EXTERIOR (BRICK ANGLE + CMU LINTEL)</t>
        </is>
      </c>
      <c r="B68" s="6" t="inlineStr">
        <is>
          <t>MO 4.000 FT</t>
        </is>
      </c>
      <c r="C68" s="7" t="n">
        <v>4</v>
      </c>
      <c r="D68" s="7" t="inlineStr"/>
      <c r="E68" s="8" t="n">
        <v>10</v>
      </c>
      <c r="F68" s="9" t="inlineStr"/>
      <c r="G68" s="6" t="inlineStr">
        <is>
          <t>EA</t>
        </is>
      </c>
      <c r="H68" s="6" t="inlineStr"/>
    </row>
    <row r="69">
      <c r="A69" s="6" t="inlineStr">
        <is>
          <t>EXTERIOR (BRICK ANGLE + CMU LINTEL)</t>
        </is>
      </c>
      <c r="B69" s="6" t="inlineStr">
        <is>
          <t>MO 6.333 FT</t>
        </is>
      </c>
      <c r="C69" s="7" t="n">
        <v>6.333</v>
      </c>
      <c r="D69" s="7" t="inlineStr"/>
      <c r="E69" s="8" t="n">
        <v>1</v>
      </c>
      <c r="F69" s="9" t="inlineStr"/>
      <c r="G69" s="6" t="inlineStr">
        <is>
          <t>EA</t>
        </is>
      </c>
      <c r="H69" s="6" t="inlineStr"/>
    </row>
    <row r="70">
      <c r="A70" s="6" t="inlineStr">
        <is>
          <t>EXTERIOR (BRICK ANGLE + CMU LINTEL)</t>
        </is>
      </c>
      <c r="B70" s="6" t="inlineStr">
        <is>
          <t>MO 6.667 FT</t>
        </is>
      </c>
      <c r="C70" s="7" t="n">
        <v>6.667</v>
      </c>
      <c r="D70" s="7" t="inlineStr"/>
      <c r="E70" s="8" t="n">
        <v>46</v>
      </c>
      <c r="F70" s="9" t="inlineStr"/>
      <c r="G70" s="6" t="inlineStr">
        <is>
          <t>EA</t>
        </is>
      </c>
      <c r="H70" s="6" t="inlineStr"/>
    </row>
    <row r="71">
      <c r="A71" s="6" t="inlineStr">
        <is>
          <t>EXTERIOR (BRICK ANGLE + CMU LINTEL)</t>
        </is>
      </c>
      <c r="B71" s="6" t="inlineStr">
        <is>
          <t>MO 10.667 FT</t>
        </is>
      </c>
      <c r="C71" s="7" t="n">
        <v>10.667</v>
      </c>
      <c r="D71" s="7" t="inlineStr"/>
      <c r="E71" s="8" t="n">
        <v>3</v>
      </c>
      <c r="F71" s="9" t="inlineStr"/>
      <c r="G71" s="6" t="inlineStr">
        <is>
          <t>EA</t>
        </is>
      </c>
      <c r="H71" s="6" t="inlineStr"/>
    </row>
    <row r="72">
      <c r="A72" s="6" t="inlineStr">
        <is>
          <t>EXTERIOR (BRICK ANGLE + CMU LINTEL)</t>
        </is>
      </c>
      <c r="B72" s="6" t="inlineStr">
        <is>
          <t>MO 32.000 FT</t>
        </is>
      </c>
      <c r="C72" s="7" t="n">
        <v>32</v>
      </c>
      <c r="D72" s="7" t="inlineStr"/>
      <c r="E72" s="8" t="n">
        <v>2</v>
      </c>
      <c r="F72" s="9" t="inlineStr"/>
      <c r="G72" s="6" t="inlineStr">
        <is>
          <t>EA</t>
        </is>
      </c>
      <c r="H72" s="6" t="inlineStr"/>
    </row>
    <row r="73">
      <c r="A73" s="6" t="inlineStr">
        <is>
          <t>INTERIOR CMU LINTEL</t>
        </is>
      </c>
      <c r="B73" s="6" t="inlineStr">
        <is>
          <t>MO 3.333 FT</t>
        </is>
      </c>
      <c r="C73" s="7" t="n">
        <v>3.333</v>
      </c>
      <c r="D73" s="7" t="inlineStr"/>
      <c r="E73" s="8" t="n">
        <v>16</v>
      </c>
      <c r="F73" s="9" t="inlineStr"/>
      <c r="G73" s="6" t="inlineStr">
        <is>
          <t>EA</t>
        </is>
      </c>
      <c r="H73" s="6" t="inlineStr"/>
    </row>
    <row r="74">
      <c r="A74" s="6" t="inlineStr">
        <is>
          <t>INTERIOR CMU LINTEL</t>
        </is>
      </c>
      <c r="B74" s="6" t="inlineStr">
        <is>
          <t>MO 4.667 FT</t>
        </is>
      </c>
      <c r="C74" s="7" t="n">
        <v>4.667</v>
      </c>
      <c r="D74" s="7" t="inlineStr"/>
      <c r="E74" s="8" t="n">
        <v>14</v>
      </c>
      <c r="F74" s="9" t="inlineStr"/>
      <c r="G74" s="6" t="inlineStr">
        <is>
          <t>EA</t>
        </is>
      </c>
      <c r="H74" s="6" t="inlineStr"/>
    </row>
    <row r="75">
      <c r="A75" s="6" t="inlineStr">
        <is>
          <t>INTERIOR CMU LINTEL</t>
        </is>
      </c>
      <c r="B75" s="6" t="inlineStr">
        <is>
          <t>MO 6.333 FT</t>
        </is>
      </c>
      <c r="C75" s="7" t="n">
        <v>6.333</v>
      </c>
      <c r="D75" s="7" t="inlineStr"/>
      <c r="E75" s="8" t="n">
        <v>1</v>
      </c>
      <c r="F75" s="9" t="inlineStr"/>
      <c r="G75" s="6" t="inlineStr">
        <is>
          <t>EA</t>
        </is>
      </c>
      <c r="H75" s="6" t="inlineStr"/>
    </row>
    <row r="76">
      <c r="A76" s="6" t="inlineStr">
        <is>
          <t>INTERIOR CMU LINTEL (ELEVATOR ENTRANCE)</t>
        </is>
      </c>
      <c r="B76" s="6" t="inlineStr">
        <is>
          <t>MO 4.667 FT</t>
        </is>
      </c>
      <c r="C76" s="7" t="n">
        <v>4.667</v>
      </c>
      <c r="D76" s="7" t="inlineStr"/>
      <c r="E76" s="8" t="n">
        <v>2</v>
      </c>
      <c r="F76" s="9" t="inlineStr"/>
      <c r="G76" s="6" t="inlineStr">
        <is>
          <t>EA</t>
        </is>
      </c>
      <c r="H7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2" customWidth="1" min="4" max="4"/>
    <col width="9" customWidth="1" min="5" max="5"/>
    <col width="15" customWidth="1" min="6" max="6"/>
    <col width="50" customWidth="1" min="7" max="7"/>
  </cols>
  <sheetData>
    <row r="1">
      <c r="A1" s="1" t="inlineStr">
        <is>
          <t>FLOORING</t>
        </is>
      </c>
    </row>
    <row r="3" ht="30" customHeight="1">
      <c r="A3" s="3" t="inlineStr">
        <is>
          <t>LEVEL</t>
        </is>
      </c>
      <c r="B3" s="3" t="inlineStr">
        <is>
          <t>ROOM</t>
        </is>
      </c>
      <c r="C3" s="3" t="inlineStr">
        <is>
          <t>FINISH</t>
        </is>
      </c>
      <c r="D3" s="3" t="inlineStr">
        <is>
          <t>AREA (SF)</t>
        </is>
      </c>
      <c r="E3" s="3" t="inlineStr">
        <is>
          <t>WASTE %</t>
        </is>
      </c>
      <c r="F3" s="3" t="inlineStr">
        <is>
          <t>ORDER QTY (SF)</t>
        </is>
      </c>
      <c r="G3" s="3" t="inlineStr">
        <is>
          <t>NOTES</t>
        </is>
      </c>
    </row>
    <row r="4">
      <c r="A4" s="4" t="inlineStr">
        <is>
          <t>LEVEL 1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L1</t>
        </is>
      </c>
      <c r="B5" s="6" t="inlineStr">
        <is>
          <t>101 CLASSROOM</t>
        </is>
      </c>
      <c r="C5" s="6" t="inlineStr">
        <is>
          <t>VCT-1</t>
        </is>
      </c>
      <c r="D5" s="9" t="n">
        <v>764.8</v>
      </c>
      <c r="E5" s="14" t="n">
        <v>0.07000000000000001</v>
      </c>
      <c r="F5" s="15">
        <f>D5*(1+E5)</f>
        <v/>
      </c>
      <c r="G5" s="6" t="inlineStr"/>
    </row>
    <row r="6">
      <c r="A6" s="6" t="inlineStr">
        <is>
          <t>L1</t>
        </is>
      </c>
      <c r="B6" s="6" t="inlineStr">
        <is>
          <t>101 CLASSROOM</t>
        </is>
      </c>
      <c r="C6" s="6" t="inlineStr">
        <is>
          <t>VCT-2</t>
        </is>
      </c>
      <c r="D6" s="9" t="n">
        <v>97.5</v>
      </c>
      <c r="E6" s="14" t="n">
        <v>0.15</v>
      </c>
      <c r="F6" s="15">
        <f>D6*(1+E6)</f>
        <v/>
      </c>
      <c r="G6" s="6" t="inlineStr"/>
    </row>
    <row r="7">
      <c r="A7" s="6" t="inlineStr">
        <is>
          <t>L1</t>
        </is>
      </c>
      <c r="B7" s="6" t="inlineStr">
        <is>
          <t>102 CLASSROOM</t>
        </is>
      </c>
      <c r="C7" s="6" t="inlineStr">
        <is>
          <t>VCT-1</t>
        </is>
      </c>
      <c r="D7" s="9" t="n">
        <v>764.8</v>
      </c>
      <c r="E7" s="14" t="n">
        <v>0.07000000000000001</v>
      </c>
      <c r="F7" s="15">
        <f>D7*(1+E7)</f>
        <v/>
      </c>
      <c r="G7" s="6" t="inlineStr"/>
    </row>
    <row r="8">
      <c r="A8" s="6" t="inlineStr">
        <is>
          <t>L1</t>
        </is>
      </c>
      <c r="B8" s="6" t="inlineStr">
        <is>
          <t>102 CLASSROOM</t>
        </is>
      </c>
      <c r="C8" s="6" t="inlineStr">
        <is>
          <t>VCT-2</t>
        </is>
      </c>
      <c r="D8" s="9" t="n">
        <v>97.5</v>
      </c>
      <c r="E8" s="14" t="n">
        <v>0.15</v>
      </c>
      <c r="F8" s="15">
        <f>D8*(1+E8)</f>
        <v/>
      </c>
      <c r="G8" s="6" t="inlineStr"/>
    </row>
    <row r="9">
      <c r="A9" s="6" t="inlineStr">
        <is>
          <t>L1</t>
        </is>
      </c>
      <c r="B9" s="6" t="inlineStr">
        <is>
          <t>103 CLASSROOM</t>
        </is>
      </c>
      <c r="C9" s="6" t="inlineStr">
        <is>
          <t>VCT-1</t>
        </is>
      </c>
      <c r="D9" s="9" t="n">
        <v>764.8</v>
      </c>
      <c r="E9" s="14" t="n">
        <v>0.07000000000000001</v>
      </c>
      <c r="F9" s="15">
        <f>D9*(1+E9)</f>
        <v/>
      </c>
      <c r="G9" s="6" t="inlineStr"/>
    </row>
    <row r="10">
      <c r="A10" s="6" t="inlineStr">
        <is>
          <t>L1</t>
        </is>
      </c>
      <c r="B10" s="6" t="inlineStr">
        <is>
          <t>103 CLASSROOM</t>
        </is>
      </c>
      <c r="C10" s="6" t="inlineStr">
        <is>
          <t>VCT-2</t>
        </is>
      </c>
      <c r="D10" s="9" t="n">
        <v>97.5</v>
      </c>
      <c r="E10" s="14" t="n">
        <v>0.15</v>
      </c>
      <c r="F10" s="15">
        <f>D10*(1+E10)</f>
        <v/>
      </c>
      <c r="G10" s="6" t="inlineStr"/>
    </row>
    <row r="11">
      <c r="A11" s="6" t="inlineStr">
        <is>
          <t>L1</t>
        </is>
      </c>
      <c r="B11" s="6" t="inlineStr">
        <is>
          <t>104 CLASSROOM</t>
        </is>
      </c>
      <c r="C11" s="6" t="inlineStr">
        <is>
          <t>VCT-1</t>
        </is>
      </c>
      <c r="D11" s="9" t="n">
        <v>764.8</v>
      </c>
      <c r="E11" s="14" t="n">
        <v>0.07000000000000001</v>
      </c>
      <c r="F11" s="15">
        <f>D11*(1+E11)</f>
        <v/>
      </c>
      <c r="G11" s="6" t="inlineStr"/>
    </row>
    <row r="12">
      <c r="A12" s="6" t="inlineStr">
        <is>
          <t>L1</t>
        </is>
      </c>
      <c r="B12" s="6" t="inlineStr">
        <is>
          <t>104 CLASSROOM</t>
        </is>
      </c>
      <c r="C12" s="6" t="inlineStr">
        <is>
          <t>VCT-2</t>
        </is>
      </c>
      <c r="D12" s="9" t="n">
        <v>97.5</v>
      </c>
      <c r="E12" s="14" t="n">
        <v>0.15</v>
      </c>
      <c r="F12" s="15">
        <f>D12*(1+E12)</f>
        <v/>
      </c>
      <c r="G12" s="6" t="inlineStr"/>
    </row>
    <row r="13">
      <c r="A13" s="6" t="inlineStr">
        <is>
          <t>L1</t>
        </is>
      </c>
      <c r="B13" s="6" t="inlineStr">
        <is>
          <t>105 SMALL GROUP</t>
        </is>
      </c>
      <c r="C13" s="6" t="inlineStr">
        <is>
          <t>CPT-1</t>
        </is>
      </c>
      <c r="D13" s="9" t="n">
        <v>509.9</v>
      </c>
      <c r="E13" s="14" t="n">
        <v>0.06</v>
      </c>
      <c r="F13" s="15">
        <f>D13*(1+E13)</f>
        <v/>
      </c>
      <c r="G13" s="6" t="inlineStr"/>
    </row>
    <row r="14">
      <c r="A14" s="6" t="inlineStr">
        <is>
          <t>L1</t>
        </is>
      </c>
      <c r="B14" s="6" t="inlineStr">
        <is>
          <t>106 STAFF WORKROOM</t>
        </is>
      </c>
      <c r="C14" s="6" t="inlineStr">
        <is>
          <t>VCT-1</t>
        </is>
      </c>
      <c r="D14" s="9" t="n">
        <v>362.1</v>
      </c>
      <c r="E14" s="14" t="n">
        <v>0.07000000000000001</v>
      </c>
      <c r="F14" s="15">
        <f>D14*(1+E14)</f>
        <v/>
      </c>
      <c r="G14" s="6" t="inlineStr"/>
    </row>
    <row r="15">
      <c r="A15" s="6" t="inlineStr">
        <is>
          <t>L1</t>
        </is>
      </c>
      <c r="B15" s="6" t="inlineStr">
        <is>
          <t>107 STAFF TOILET</t>
        </is>
      </c>
      <c r="C15" s="6" t="inlineStr">
        <is>
          <t>PT-1</t>
        </is>
      </c>
      <c r="D15" s="9" t="n">
        <v>58.9</v>
      </c>
      <c r="E15" s="14" t="n">
        <v>0.1</v>
      </c>
      <c r="F15" s="15">
        <f>D15*(1+E15)</f>
        <v/>
      </c>
      <c r="G15" s="6" t="inlineStr"/>
    </row>
    <row r="16">
      <c r="A16" s="6" t="inlineStr">
        <is>
          <t>L1</t>
        </is>
      </c>
      <c r="B16" s="6" t="inlineStr">
        <is>
          <t>109 BOYS</t>
        </is>
      </c>
      <c r="C16" s="6" t="inlineStr">
        <is>
          <t>PT-1</t>
        </is>
      </c>
      <c r="D16" s="9" t="n">
        <v>180</v>
      </c>
      <c r="E16" s="14" t="n">
        <v>0.1</v>
      </c>
      <c r="F16" s="15">
        <f>D16*(1+E16)</f>
        <v/>
      </c>
      <c r="G16" s="6" t="inlineStr"/>
    </row>
    <row r="17">
      <c r="A17" s="6" t="inlineStr">
        <is>
          <t>L1</t>
        </is>
      </c>
      <c r="B17" s="6" t="inlineStr">
        <is>
          <t>110 CUST.</t>
        </is>
      </c>
      <c r="C17" s="6" t="inlineStr">
        <is>
          <t>SC-1</t>
        </is>
      </c>
      <c r="D17" s="9" t="n">
        <v>69</v>
      </c>
      <c r="E17" s="14" t="n">
        <v>0</v>
      </c>
      <c r="F17" s="15">
        <f>D17*(1+E17)</f>
        <v/>
      </c>
      <c r="G17" s="6" t="inlineStr"/>
    </row>
    <row r="18">
      <c r="A18" s="6" t="inlineStr">
        <is>
          <t>L1</t>
        </is>
      </c>
      <c r="B18" s="6" t="inlineStr">
        <is>
          <t>111 GIRLS</t>
        </is>
      </c>
      <c r="C18" s="6" t="inlineStr">
        <is>
          <t>PT-1</t>
        </is>
      </c>
      <c r="D18" s="9" t="n">
        <v>180</v>
      </c>
      <c r="E18" s="14" t="n">
        <v>0.1</v>
      </c>
      <c r="F18" s="15">
        <f>D18*(1+E18)</f>
        <v/>
      </c>
      <c r="G18" s="6" t="inlineStr"/>
    </row>
    <row r="19">
      <c r="A19" s="6" t="inlineStr">
        <is>
          <t>L1</t>
        </is>
      </c>
      <c r="B19" s="6" t="inlineStr">
        <is>
          <t>112 MECH. / ELEC.</t>
        </is>
      </c>
      <c r="C19" s="6" t="inlineStr">
        <is>
          <t>SC-1</t>
        </is>
      </c>
      <c r="D19" s="9" t="n">
        <v>392.8</v>
      </c>
      <c r="E19" s="14" t="n">
        <v>0</v>
      </c>
      <c r="F19" s="15">
        <f>D19*(1+E19)</f>
        <v/>
      </c>
      <c r="G19" s="6" t="inlineStr"/>
    </row>
    <row r="20">
      <c r="A20" s="6" t="inlineStr">
        <is>
          <t>L1</t>
        </is>
      </c>
      <c r="B20" s="6" t="inlineStr">
        <is>
          <t>113 CLASSROOM</t>
        </is>
      </c>
      <c r="C20" s="6" t="inlineStr">
        <is>
          <t>VCT-1</t>
        </is>
      </c>
      <c r="D20" s="9" t="n">
        <v>764.8</v>
      </c>
      <c r="E20" s="14" t="n">
        <v>0.07000000000000001</v>
      </c>
      <c r="F20" s="15">
        <f>D20*(1+E20)</f>
        <v/>
      </c>
      <c r="G20" s="6" t="inlineStr"/>
    </row>
    <row r="21">
      <c r="A21" s="6" t="inlineStr">
        <is>
          <t>L1</t>
        </is>
      </c>
      <c r="B21" s="6" t="inlineStr">
        <is>
          <t>113 CLASSROOM</t>
        </is>
      </c>
      <c r="C21" s="6" t="inlineStr">
        <is>
          <t>VCT-2</t>
        </is>
      </c>
      <c r="D21" s="9" t="n">
        <v>97.5</v>
      </c>
      <c r="E21" s="14" t="n">
        <v>0.15</v>
      </c>
      <c r="F21" s="15">
        <f>D21*(1+E21)</f>
        <v/>
      </c>
      <c r="G21" s="6" t="inlineStr"/>
    </row>
    <row r="22">
      <c r="A22" s="6" t="inlineStr">
        <is>
          <t>L1</t>
        </is>
      </c>
      <c r="B22" s="6" t="inlineStr">
        <is>
          <t>114 CLASSROOM</t>
        </is>
      </c>
      <c r="C22" s="6" t="inlineStr">
        <is>
          <t>VCT-1</t>
        </is>
      </c>
      <c r="D22" s="9" t="n">
        <v>764.8</v>
      </c>
      <c r="E22" s="14" t="n">
        <v>0.07000000000000001</v>
      </c>
      <c r="F22" s="15">
        <f>D22*(1+E22)</f>
        <v/>
      </c>
      <c r="G22" s="6" t="inlineStr"/>
    </row>
    <row r="23">
      <c r="A23" s="6" t="inlineStr">
        <is>
          <t>L1</t>
        </is>
      </c>
      <c r="B23" s="6" t="inlineStr">
        <is>
          <t>114 CLASSROOM</t>
        </is>
      </c>
      <c r="C23" s="6" t="inlineStr">
        <is>
          <t>VCT-2</t>
        </is>
      </c>
      <c r="D23" s="9" t="n">
        <v>97.5</v>
      </c>
      <c r="E23" s="14" t="n">
        <v>0.15</v>
      </c>
      <c r="F23" s="15">
        <f>D23*(1+E23)</f>
        <v/>
      </c>
      <c r="G23" s="6" t="inlineStr"/>
    </row>
    <row r="24">
      <c r="A24" s="6" t="inlineStr">
        <is>
          <t>L1</t>
        </is>
      </c>
      <c r="B24" s="6" t="inlineStr">
        <is>
          <t>115 CLASSROOM</t>
        </is>
      </c>
      <c r="C24" s="6" t="inlineStr">
        <is>
          <t>VCT-1</t>
        </is>
      </c>
      <c r="D24" s="9" t="n">
        <v>764.8</v>
      </c>
      <c r="E24" s="14" t="n">
        <v>0.07000000000000001</v>
      </c>
      <c r="F24" s="15">
        <f>D24*(1+E24)</f>
        <v/>
      </c>
      <c r="G24" s="6" t="inlineStr"/>
    </row>
    <row r="25">
      <c r="A25" s="6" t="inlineStr">
        <is>
          <t>L1</t>
        </is>
      </c>
      <c r="B25" s="6" t="inlineStr">
        <is>
          <t>115 CLASSROOM</t>
        </is>
      </c>
      <c r="C25" s="6" t="inlineStr">
        <is>
          <t>VCT-2</t>
        </is>
      </c>
      <c r="D25" s="9" t="n">
        <v>97.5</v>
      </c>
      <c r="E25" s="14" t="n">
        <v>0.15</v>
      </c>
      <c r="F25" s="15">
        <f>D25*(1+E25)</f>
        <v/>
      </c>
      <c r="G25" s="6" t="inlineStr"/>
    </row>
    <row r="26">
      <c r="A26" s="6" t="inlineStr">
        <is>
          <t>L1</t>
        </is>
      </c>
      <c r="B26" s="6" t="inlineStr">
        <is>
          <t>100 CORRIDOR</t>
        </is>
      </c>
      <c r="C26" s="6" t="inlineStr">
        <is>
          <t>WOM-1</t>
        </is>
      </c>
      <c r="D26" s="9" t="n">
        <v>110</v>
      </c>
      <c r="E26" s="14" t="n">
        <v>0.08</v>
      </c>
      <c r="F26" s="15">
        <f>D26*(1+E26)</f>
        <v/>
      </c>
      <c r="G26" s="6" t="inlineStr"/>
    </row>
    <row r="27">
      <c r="A27" s="6" t="inlineStr">
        <is>
          <t>L1</t>
        </is>
      </c>
      <c r="B27" s="6" t="inlineStr">
        <is>
          <t>100 CORRIDOR</t>
        </is>
      </c>
      <c r="C27" s="6" t="inlineStr">
        <is>
          <t>LVT-1</t>
        </is>
      </c>
      <c r="D27" s="9" t="n">
        <v>1496.5</v>
      </c>
      <c r="E27" s="14" t="n">
        <v>0.08</v>
      </c>
      <c r="F27" s="15">
        <f>D27*(1+E27)</f>
        <v/>
      </c>
      <c r="G27" s="6" t="inlineStr"/>
    </row>
    <row r="28">
      <c r="A28" s="6" t="inlineStr">
        <is>
          <t>L1</t>
        </is>
      </c>
      <c r="B28" s="6" t="inlineStr">
        <is>
          <t>100 CORRIDOR</t>
        </is>
      </c>
      <c r="C28" s="6" t="inlineStr">
        <is>
          <t>LVT-2</t>
        </is>
      </c>
      <c r="D28" s="9" t="n">
        <v>90.90000000000001</v>
      </c>
      <c r="E28" s="14" t="n">
        <v>0.12</v>
      </c>
      <c r="F28" s="15">
        <f>D28*(1+E28)</f>
        <v/>
      </c>
      <c r="G28" s="6" t="inlineStr"/>
    </row>
    <row r="29">
      <c r="A29" s="6" t="inlineStr">
        <is>
          <t>L1</t>
        </is>
      </c>
      <c r="B29" s="6" t="inlineStr">
        <is>
          <t>ST-1 STAIR 1</t>
        </is>
      </c>
      <c r="C29" s="6" t="inlineStr">
        <is>
          <t>RF-1</t>
        </is>
      </c>
      <c r="D29" s="9" t="n">
        <v>219.1</v>
      </c>
      <c r="E29" s="14" t="n">
        <v>0.1</v>
      </c>
      <c r="F29" s="15">
        <f>D29*(1+E29)</f>
        <v/>
      </c>
      <c r="G29" s="6" t="inlineStr"/>
    </row>
    <row r="30">
      <c r="A30" s="6" t="inlineStr">
        <is>
          <t>L1</t>
        </is>
      </c>
      <c r="B30" s="6" t="inlineStr">
        <is>
          <t>ST-2 STAIR 2</t>
        </is>
      </c>
      <c r="C30" s="6" t="inlineStr">
        <is>
          <t>RF-1</t>
        </is>
      </c>
      <c r="D30" s="9" t="n">
        <v>219.1</v>
      </c>
      <c r="E30" s="14" t="n">
        <v>0.1</v>
      </c>
      <c r="F30" s="15">
        <f>D30*(1+E30)</f>
        <v/>
      </c>
      <c r="G30" s="6" t="inlineStr"/>
    </row>
    <row r="31">
      <c r="A31" s="6" t="inlineStr">
        <is>
          <t>L1</t>
        </is>
      </c>
      <c r="B31" s="6" t="inlineStr">
        <is>
          <t>100A LINK</t>
        </is>
      </c>
      <c r="C31" s="6" t="inlineStr">
        <is>
          <t>LVT-1</t>
        </is>
      </c>
      <c r="D31" s="9" t="n">
        <v>405.5</v>
      </c>
      <c r="E31" s="14" t="n">
        <v>0.08</v>
      </c>
      <c r="F31" s="15">
        <f>D31*(1+E31)</f>
        <v/>
      </c>
      <c r="G31" s="6" t="inlineStr"/>
    </row>
    <row r="32">
      <c r="A32" s="4" t="inlineStr">
        <is>
          <t>LEVEL 2</t>
        </is>
      </c>
      <c r="B32" s="5" t="n"/>
      <c r="C32" s="5" t="n"/>
      <c r="D32" s="5" t="n"/>
      <c r="E32" s="5" t="n"/>
      <c r="F32" s="5" t="n"/>
      <c r="G32" s="5" t="n"/>
    </row>
    <row r="33">
      <c r="A33" s="6" t="inlineStr">
        <is>
          <t>L2</t>
        </is>
      </c>
      <c r="B33" s="6" t="inlineStr">
        <is>
          <t>201 CLASSROOM</t>
        </is>
      </c>
      <c r="C33" s="6" t="inlineStr">
        <is>
          <t>VCT-1</t>
        </is>
      </c>
      <c r="D33" s="9" t="n">
        <v>764.8</v>
      </c>
      <c r="E33" s="14" t="n">
        <v>0.07000000000000001</v>
      </c>
      <c r="F33" s="15">
        <f>D33*(1+E33)</f>
        <v/>
      </c>
      <c r="G33" s="6" t="inlineStr"/>
    </row>
    <row r="34">
      <c r="A34" s="6" t="inlineStr">
        <is>
          <t>L2</t>
        </is>
      </c>
      <c r="B34" s="6" t="inlineStr">
        <is>
          <t>201 CLASSROOM</t>
        </is>
      </c>
      <c r="C34" s="6" t="inlineStr">
        <is>
          <t>VCT-2</t>
        </is>
      </c>
      <c r="D34" s="9" t="n">
        <v>97.5</v>
      </c>
      <c r="E34" s="14" t="n">
        <v>0.15</v>
      </c>
      <c r="F34" s="15">
        <f>D34*(1+E34)</f>
        <v/>
      </c>
      <c r="G34" s="6" t="inlineStr"/>
    </row>
    <row r="35">
      <c r="A35" s="6" t="inlineStr">
        <is>
          <t>L2</t>
        </is>
      </c>
      <c r="B35" s="6" t="inlineStr">
        <is>
          <t>202 CLASSROOM</t>
        </is>
      </c>
      <c r="C35" s="6" t="inlineStr">
        <is>
          <t>VCT-1</t>
        </is>
      </c>
      <c r="D35" s="9" t="n">
        <v>764.8</v>
      </c>
      <c r="E35" s="14" t="n">
        <v>0.07000000000000001</v>
      </c>
      <c r="F35" s="15">
        <f>D35*(1+E35)</f>
        <v/>
      </c>
      <c r="G35" s="6" t="inlineStr"/>
    </row>
    <row r="36">
      <c r="A36" s="6" t="inlineStr">
        <is>
          <t>L2</t>
        </is>
      </c>
      <c r="B36" s="6" t="inlineStr">
        <is>
          <t>202 CLASSROOM</t>
        </is>
      </c>
      <c r="C36" s="6" t="inlineStr">
        <is>
          <t>VCT-2</t>
        </is>
      </c>
      <c r="D36" s="9" t="n">
        <v>97.5</v>
      </c>
      <c r="E36" s="14" t="n">
        <v>0.15</v>
      </c>
      <c r="F36" s="15">
        <f>D36*(1+E36)</f>
        <v/>
      </c>
      <c r="G36" s="6" t="inlineStr"/>
    </row>
    <row r="37">
      <c r="A37" s="6" t="inlineStr">
        <is>
          <t>L2</t>
        </is>
      </c>
      <c r="B37" s="6" t="inlineStr">
        <is>
          <t>203 CLASSROOM</t>
        </is>
      </c>
      <c r="C37" s="6" t="inlineStr">
        <is>
          <t>VCT-1</t>
        </is>
      </c>
      <c r="D37" s="9" t="n">
        <v>764.8</v>
      </c>
      <c r="E37" s="14" t="n">
        <v>0.07000000000000001</v>
      </c>
      <c r="F37" s="15">
        <f>D37*(1+E37)</f>
        <v/>
      </c>
      <c r="G37" s="6" t="inlineStr"/>
    </row>
    <row r="38">
      <c r="A38" s="6" t="inlineStr">
        <is>
          <t>L2</t>
        </is>
      </c>
      <c r="B38" s="6" t="inlineStr">
        <is>
          <t>203 CLASSROOM</t>
        </is>
      </c>
      <c r="C38" s="6" t="inlineStr">
        <is>
          <t>VCT-2</t>
        </is>
      </c>
      <c r="D38" s="9" t="n">
        <v>97.5</v>
      </c>
      <c r="E38" s="14" t="n">
        <v>0.15</v>
      </c>
      <c r="F38" s="15">
        <f>D38*(1+E38)</f>
        <v/>
      </c>
      <c r="G38" s="6" t="inlineStr"/>
    </row>
    <row r="39">
      <c r="A39" s="6" t="inlineStr">
        <is>
          <t>L2</t>
        </is>
      </c>
      <c r="B39" s="6" t="inlineStr">
        <is>
          <t>204 CLASSROOM</t>
        </is>
      </c>
      <c r="C39" s="6" t="inlineStr">
        <is>
          <t>VCT-1</t>
        </is>
      </c>
      <c r="D39" s="9" t="n">
        <v>764.8</v>
      </c>
      <c r="E39" s="14" t="n">
        <v>0.07000000000000001</v>
      </c>
      <c r="F39" s="15">
        <f>D39*(1+E39)</f>
        <v/>
      </c>
      <c r="G39" s="6" t="inlineStr"/>
    </row>
    <row r="40">
      <c r="A40" s="6" t="inlineStr">
        <is>
          <t>L2</t>
        </is>
      </c>
      <c r="B40" s="6" t="inlineStr">
        <is>
          <t>204 CLASSROOM</t>
        </is>
      </c>
      <c r="C40" s="6" t="inlineStr">
        <is>
          <t>VCT-2</t>
        </is>
      </c>
      <c r="D40" s="9" t="n">
        <v>97.5</v>
      </c>
      <c r="E40" s="14" t="n">
        <v>0.15</v>
      </c>
      <c r="F40" s="15">
        <f>D40*(1+E40)</f>
        <v/>
      </c>
      <c r="G40" s="6" t="inlineStr"/>
    </row>
    <row r="41">
      <c r="A41" s="6" t="inlineStr">
        <is>
          <t>L2</t>
        </is>
      </c>
      <c r="B41" s="6" t="inlineStr">
        <is>
          <t>205 SMALL GROUP</t>
        </is>
      </c>
      <c r="C41" s="6" t="inlineStr">
        <is>
          <t>CPT-1</t>
        </is>
      </c>
      <c r="D41" s="9" t="n">
        <v>509.9</v>
      </c>
      <c r="E41" s="14" t="n">
        <v>0.06</v>
      </c>
      <c r="F41" s="15">
        <f>D41*(1+E41)</f>
        <v/>
      </c>
      <c r="G41" s="6" t="inlineStr"/>
    </row>
    <row r="42">
      <c r="A42" s="6" t="inlineStr">
        <is>
          <t>L2</t>
        </is>
      </c>
      <c r="B42" s="6" t="inlineStr">
        <is>
          <t>206 TEACHER PLANNING</t>
        </is>
      </c>
      <c r="C42" s="6" t="inlineStr">
        <is>
          <t>CPT-1</t>
        </is>
      </c>
      <c r="D42" s="9" t="n">
        <v>362.1</v>
      </c>
      <c r="E42" s="14" t="n">
        <v>0.06</v>
      </c>
      <c r="F42" s="15">
        <f>D42*(1+E42)</f>
        <v/>
      </c>
      <c r="G42" s="6" t="inlineStr"/>
    </row>
    <row r="43">
      <c r="A43" s="6" t="inlineStr">
        <is>
          <t>L2</t>
        </is>
      </c>
      <c r="B43" s="6" t="inlineStr">
        <is>
          <t>207 STAFF TOILET</t>
        </is>
      </c>
      <c r="C43" s="6" t="inlineStr">
        <is>
          <t>PT-1</t>
        </is>
      </c>
      <c r="D43" s="9" t="n">
        <v>58.9</v>
      </c>
      <c r="E43" s="14" t="n">
        <v>0.1</v>
      </c>
      <c r="F43" s="15">
        <f>D43*(1+E43)</f>
        <v/>
      </c>
      <c r="G43" s="6" t="inlineStr"/>
    </row>
    <row r="44">
      <c r="A44" s="6" t="inlineStr">
        <is>
          <t>L2</t>
        </is>
      </c>
      <c r="B44" s="6" t="inlineStr">
        <is>
          <t>209 BOYS</t>
        </is>
      </c>
      <c r="C44" s="6" t="inlineStr">
        <is>
          <t>PT-1</t>
        </is>
      </c>
      <c r="D44" s="9" t="n">
        <v>180</v>
      </c>
      <c r="E44" s="14" t="n">
        <v>0.1</v>
      </c>
      <c r="F44" s="15">
        <f>D44*(1+E44)</f>
        <v/>
      </c>
      <c r="G44" s="6" t="inlineStr"/>
    </row>
    <row r="45">
      <c r="A45" s="6" t="inlineStr">
        <is>
          <t>L2</t>
        </is>
      </c>
      <c r="B45" s="6" t="inlineStr">
        <is>
          <t>210 CUST.</t>
        </is>
      </c>
      <c r="C45" s="6" t="inlineStr">
        <is>
          <t>SC-1</t>
        </is>
      </c>
      <c r="D45" s="9" t="n">
        <v>69</v>
      </c>
      <c r="E45" s="14" t="n">
        <v>0</v>
      </c>
      <c r="F45" s="15">
        <f>D45*(1+E45)</f>
        <v/>
      </c>
      <c r="G45" s="6" t="inlineStr"/>
    </row>
    <row r="46">
      <c r="A46" s="6" t="inlineStr">
        <is>
          <t>L2</t>
        </is>
      </c>
      <c r="B46" s="6" t="inlineStr">
        <is>
          <t>211 GIRLS</t>
        </is>
      </c>
      <c r="C46" s="6" t="inlineStr">
        <is>
          <t>PT-1</t>
        </is>
      </c>
      <c r="D46" s="9" t="n">
        <v>180</v>
      </c>
      <c r="E46" s="14" t="n">
        <v>0.1</v>
      </c>
      <c r="F46" s="15">
        <f>D46*(1+E46)</f>
        <v/>
      </c>
      <c r="G46" s="6" t="inlineStr"/>
    </row>
    <row r="47">
      <c r="A47" s="6" t="inlineStr">
        <is>
          <t>L2</t>
        </is>
      </c>
      <c r="B47" s="6" t="inlineStr">
        <is>
          <t>212 STORAGE / IDF</t>
        </is>
      </c>
      <c r="C47" s="6" t="inlineStr">
        <is>
          <t>VCT-1</t>
        </is>
      </c>
      <c r="D47" s="9" t="n">
        <v>392.8</v>
      </c>
      <c r="E47" s="14" t="n">
        <v>0.07000000000000001</v>
      </c>
      <c r="F47" s="15">
        <f>D47*(1+E47)</f>
        <v/>
      </c>
      <c r="G47" s="6" t="inlineStr"/>
    </row>
    <row r="48">
      <c r="A48" s="6" t="inlineStr">
        <is>
          <t>L2</t>
        </is>
      </c>
      <c r="B48" s="6" t="inlineStr">
        <is>
          <t>213 CLASSROOM</t>
        </is>
      </c>
      <c r="C48" s="6" t="inlineStr">
        <is>
          <t>VCT-1</t>
        </is>
      </c>
      <c r="D48" s="9" t="n">
        <v>764.8</v>
      </c>
      <c r="E48" s="14" t="n">
        <v>0.07000000000000001</v>
      </c>
      <c r="F48" s="15">
        <f>D48*(1+E48)</f>
        <v/>
      </c>
      <c r="G48" s="6" t="inlineStr"/>
    </row>
    <row r="49">
      <c r="A49" s="6" t="inlineStr">
        <is>
          <t>L2</t>
        </is>
      </c>
      <c r="B49" s="6" t="inlineStr">
        <is>
          <t>213 CLASSROOM</t>
        </is>
      </c>
      <c r="C49" s="6" t="inlineStr">
        <is>
          <t>VCT-2</t>
        </is>
      </c>
      <c r="D49" s="9" t="n">
        <v>97.5</v>
      </c>
      <c r="E49" s="14" t="n">
        <v>0.15</v>
      </c>
      <c r="F49" s="15">
        <f>D49*(1+E49)</f>
        <v/>
      </c>
      <c r="G49" s="6" t="inlineStr"/>
    </row>
    <row r="50">
      <c r="A50" s="6" t="inlineStr">
        <is>
          <t>L2</t>
        </is>
      </c>
      <c r="B50" s="6" t="inlineStr">
        <is>
          <t>214 CLASSROOM</t>
        </is>
      </c>
      <c r="C50" s="6" t="inlineStr">
        <is>
          <t>VCT-1</t>
        </is>
      </c>
      <c r="D50" s="9" t="n">
        <v>764.8</v>
      </c>
      <c r="E50" s="14" t="n">
        <v>0.07000000000000001</v>
      </c>
      <c r="F50" s="15">
        <f>D50*(1+E50)</f>
        <v/>
      </c>
      <c r="G50" s="6" t="inlineStr"/>
    </row>
    <row r="51">
      <c r="A51" s="6" t="inlineStr">
        <is>
          <t>L2</t>
        </is>
      </c>
      <c r="B51" s="6" t="inlineStr">
        <is>
          <t>214 CLASSROOM</t>
        </is>
      </c>
      <c r="C51" s="6" t="inlineStr">
        <is>
          <t>VCT-2</t>
        </is>
      </c>
      <c r="D51" s="9" t="n">
        <v>97.5</v>
      </c>
      <c r="E51" s="14" t="n">
        <v>0.15</v>
      </c>
      <c r="F51" s="15">
        <f>D51*(1+E51)</f>
        <v/>
      </c>
      <c r="G51" s="6" t="inlineStr"/>
    </row>
    <row r="52">
      <c r="A52" s="6" t="inlineStr">
        <is>
          <t>L2</t>
        </is>
      </c>
      <c r="B52" s="6" t="inlineStr">
        <is>
          <t>215 CLASSROOM</t>
        </is>
      </c>
      <c r="C52" s="6" t="inlineStr">
        <is>
          <t>VCT-1</t>
        </is>
      </c>
      <c r="D52" s="9" t="n">
        <v>764.8</v>
      </c>
      <c r="E52" s="14" t="n">
        <v>0.07000000000000001</v>
      </c>
      <c r="F52" s="15">
        <f>D52*(1+E52)</f>
        <v/>
      </c>
      <c r="G52" s="6" t="inlineStr"/>
    </row>
    <row r="53">
      <c r="A53" s="6" t="inlineStr">
        <is>
          <t>L2</t>
        </is>
      </c>
      <c r="B53" s="6" t="inlineStr">
        <is>
          <t>215 CLASSROOM</t>
        </is>
      </c>
      <c r="C53" s="6" t="inlineStr">
        <is>
          <t>VCT-2</t>
        </is>
      </c>
      <c r="D53" s="9" t="n">
        <v>97.5</v>
      </c>
      <c r="E53" s="14" t="n">
        <v>0.15</v>
      </c>
      <c r="F53" s="15">
        <f>D53*(1+E53)</f>
        <v/>
      </c>
      <c r="G53" s="6" t="inlineStr"/>
    </row>
    <row r="54">
      <c r="A54" s="6" t="inlineStr">
        <is>
          <t>L2</t>
        </is>
      </c>
      <c r="B54" s="6" t="inlineStr">
        <is>
          <t>200 CORRIDOR</t>
        </is>
      </c>
      <c r="C54" s="6" t="inlineStr">
        <is>
          <t>LVT-1</t>
        </is>
      </c>
      <c r="D54" s="9" t="n">
        <v>1606.5</v>
      </c>
      <c r="E54" s="14" t="n">
        <v>0.08</v>
      </c>
      <c r="F54" s="15">
        <f>D54*(1+E54)</f>
        <v/>
      </c>
      <c r="G54" s="6" t="inlineStr"/>
    </row>
    <row r="55">
      <c r="A55" s="6" t="inlineStr">
        <is>
          <t>L2</t>
        </is>
      </c>
      <c r="B55" s="6" t="inlineStr">
        <is>
          <t>200 CORRIDOR</t>
        </is>
      </c>
      <c r="C55" s="6" t="inlineStr">
        <is>
          <t>LVT-2</t>
        </is>
      </c>
      <c r="D55" s="9" t="n">
        <v>90.90000000000001</v>
      </c>
      <c r="E55" s="14" t="n">
        <v>0.12</v>
      </c>
      <c r="F55" s="15">
        <f>D55*(1+E55)</f>
        <v/>
      </c>
      <c r="G55" s="6" t="inlineStr"/>
    </row>
    <row r="56">
      <c r="A56" s="6" t="inlineStr">
        <is>
          <t>L2</t>
        </is>
      </c>
      <c r="B56" s="6" t="inlineStr">
        <is>
          <t>ST-1 STAIR 1</t>
        </is>
      </c>
      <c r="C56" s="6" t="inlineStr">
        <is>
          <t>RF-1</t>
        </is>
      </c>
      <c r="D56" s="9" t="n">
        <v>156.6</v>
      </c>
      <c r="E56" s="14" t="n">
        <v>0.1</v>
      </c>
      <c r="F56" s="15">
        <f>D56*(1+E56)</f>
        <v/>
      </c>
      <c r="G56" s="6" t="inlineStr"/>
    </row>
    <row r="57">
      <c r="A57" s="6" t="inlineStr">
        <is>
          <t>L2</t>
        </is>
      </c>
      <c r="B57" s="6" t="inlineStr">
        <is>
          <t>ST-2 STAIR 2</t>
        </is>
      </c>
      <c r="C57" s="6" t="inlineStr">
        <is>
          <t>RF-1</t>
        </is>
      </c>
      <c r="D57" s="9" t="n">
        <v>156.6</v>
      </c>
      <c r="E57" s="14" t="n">
        <v>0.1</v>
      </c>
      <c r="F57" s="15">
        <f>D57*(1+E57)</f>
        <v/>
      </c>
      <c r="G57" s="6" t="inlineStr"/>
    </row>
    <row r="58">
      <c r="A58" s="4" t="inlineStr">
        <is>
          <t>TOTALS BY FINISH (NEAT)</t>
        </is>
      </c>
      <c r="B58" s="5" t="n"/>
      <c r="C58" s="5" t="n"/>
      <c r="D58" s="5" t="n"/>
      <c r="E58" s="5" t="n"/>
      <c r="F58" s="5" t="n"/>
      <c r="G58" s="5" t="n"/>
    </row>
    <row r="59">
      <c r="A59" s="10" t="inlineStr"/>
      <c r="B59" s="10" t="inlineStr">
        <is>
          <t>TOTAL</t>
        </is>
      </c>
      <c r="C59" s="10" t="inlineStr">
        <is>
          <t>CPT-1</t>
        </is>
      </c>
      <c r="D59" s="13" t="n">
        <v>1381.9</v>
      </c>
      <c r="E59" s="16" t="n">
        <v>0.06</v>
      </c>
      <c r="F59" s="17">
        <f>D59*(1+E59)</f>
        <v/>
      </c>
      <c r="G59" s="10" t="inlineStr">
        <is>
          <t>CARPET TILE 24"x24", SOLUTION-DYED NYLON, QUARTER TURN</t>
        </is>
      </c>
    </row>
    <row r="60">
      <c r="A60" s="10" t="inlineStr"/>
      <c r="B60" s="10" t="inlineStr">
        <is>
          <t>TOTAL</t>
        </is>
      </c>
      <c r="C60" s="10" t="inlineStr">
        <is>
          <t>LVT-1</t>
        </is>
      </c>
      <c r="D60" s="13" t="n">
        <v>3508.6</v>
      </c>
      <c r="E60" s="16" t="n">
        <v>0.08</v>
      </c>
      <c r="F60" s="17">
        <f>D60*(1+E60)</f>
        <v/>
      </c>
      <c r="G60" s="10" t="inlineStr">
        <is>
          <t>LUXURY VINYL TILE 6"x36" PLANK, 20 MIL WEAR LAYER, FIELD</t>
        </is>
      </c>
    </row>
    <row r="61">
      <c r="A61" s="10" t="inlineStr"/>
      <c r="B61" s="10" t="inlineStr">
        <is>
          <t>TOTAL</t>
        </is>
      </c>
      <c r="C61" s="10" t="inlineStr">
        <is>
          <t>LVT-2</t>
        </is>
      </c>
      <c r="D61" s="13" t="n">
        <v>181.8</v>
      </c>
      <c r="E61" s="16" t="n">
        <v>0.12</v>
      </c>
      <c r="F61" s="17">
        <f>D61*(1+E61)</f>
        <v/>
      </c>
      <c r="G61" s="10" t="inlineStr">
        <is>
          <t>LUXURY VINYL TILE 18"x18", ACCENT BANDS</t>
        </is>
      </c>
    </row>
    <row r="62">
      <c r="A62" s="10" t="inlineStr"/>
      <c r="B62" s="10" t="inlineStr">
        <is>
          <t>TOTAL</t>
        </is>
      </c>
      <c r="C62" s="10" t="inlineStr">
        <is>
          <t>PT-1</t>
        </is>
      </c>
      <c r="D62" s="13" t="n">
        <v>837.7</v>
      </c>
      <c r="E62" s="16" t="n">
        <v>0.1</v>
      </c>
      <c r="F62" s="17">
        <f>D62*(1+E62)</f>
        <v/>
      </c>
      <c r="G62" s="10" t="inlineStr">
        <is>
          <t>PORCELAIN FLOOR TILE 12"x24", THINSET, EPOXY GROUT</t>
        </is>
      </c>
    </row>
    <row r="63">
      <c r="A63" s="10" t="inlineStr"/>
      <c r="B63" s="10" t="inlineStr">
        <is>
          <t>TOTAL</t>
        </is>
      </c>
      <c r="C63" s="10" t="inlineStr">
        <is>
          <t>RF-1</t>
        </is>
      </c>
      <c r="D63" s="13" t="n">
        <v>751.5</v>
      </c>
      <c r="E63" s="16" t="n">
        <v>0.1</v>
      </c>
      <c r="F63" s="17">
        <f>D63*(1+E63)</f>
        <v/>
      </c>
      <c r="G63" s="10" t="inlineStr">
        <is>
          <t>RUBBER SHEET FLOORING 3.0 MM (STAIR LANDINGS)</t>
        </is>
      </c>
    </row>
    <row r="64">
      <c r="A64" s="10" t="inlineStr"/>
      <c r="B64" s="10" t="inlineStr">
        <is>
          <t>TOTAL</t>
        </is>
      </c>
      <c r="C64" s="10" t="inlineStr">
        <is>
          <t>SC-1</t>
        </is>
      </c>
      <c r="D64" s="13" t="n">
        <v>530.8</v>
      </c>
      <c r="E64" s="16" t="n">
        <v>0</v>
      </c>
      <c r="F64" s="17">
        <f>D64*(1+E64)</f>
        <v/>
      </c>
      <c r="G64" s="10" t="inlineStr">
        <is>
          <t>SEALED CONCRETE (PENETRATING SEALER)</t>
        </is>
      </c>
    </row>
    <row r="65">
      <c r="A65" s="10" t="inlineStr"/>
      <c r="B65" s="10" t="inlineStr">
        <is>
          <t>TOTAL</t>
        </is>
      </c>
      <c r="C65" s="10" t="inlineStr">
        <is>
          <t>VCT-1</t>
        </is>
      </c>
      <c r="D65" s="13" t="n">
        <v>11462.4</v>
      </c>
      <c r="E65" s="16" t="n">
        <v>0.07000000000000001</v>
      </c>
      <c r="F65" s="17">
        <f>D65*(1+E65)</f>
        <v/>
      </c>
      <c r="G65" s="10" t="inlineStr">
        <is>
          <t>VINYL COMPOSITION TILE 12"x12"x1/8", FIELD COLOR</t>
        </is>
      </c>
    </row>
    <row r="66">
      <c r="A66" s="10" t="inlineStr"/>
      <c r="B66" s="10" t="inlineStr">
        <is>
          <t>TOTAL</t>
        </is>
      </c>
      <c r="C66" s="10" t="inlineStr">
        <is>
          <t>VCT-2</t>
        </is>
      </c>
      <c r="D66" s="13" t="n">
        <v>1364.4</v>
      </c>
      <c r="E66" s="16" t="n">
        <v>0.15</v>
      </c>
      <c r="F66" s="17">
        <f>D66*(1+E66)</f>
        <v/>
      </c>
      <c r="G66" s="10" t="inlineStr">
        <is>
          <t>VINYL COMPOSITION TILE 12"x12"x1/8", ACCENT COLOR</t>
        </is>
      </c>
    </row>
    <row r="67">
      <c r="A67" s="10" t="inlineStr"/>
      <c r="B67" s="10" t="inlineStr">
        <is>
          <t>TOTAL</t>
        </is>
      </c>
      <c r="C67" s="10" t="inlineStr">
        <is>
          <t>WOM-1</t>
        </is>
      </c>
      <c r="D67" s="13" t="n">
        <v>110</v>
      </c>
      <c r="E67" s="16" t="n">
        <v>0.08</v>
      </c>
      <c r="F67" s="17">
        <f>D67*(1+E67)</f>
        <v/>
      </c>
      <c r="G67" s="10" t="inlineStr">
        <is>
          <t>WALK-OFF CARPET TILE 24"x24" (RECESSED 1/4" SLAB DEPRESSION)</t>
        </is>
      </c>
    </row>
    <row r="69">
      <c r="A69" s="4" t="inlineStr">
        <is>
          <t>STAIRS (RST-1)</t>
        </is>
      </c>
      <c r="B69" s="5" t="n"/>
      <c r="C69" s="5" t="n"/>
      <c r="D69" s="5" t="n"/>
      <c r="E69" s="5" t="n"/>
      <c r="F69" s="5" t="n"/>
      <c r="G69" s="5" t="n"/>
    </row>
    <row r="70">
      <c r="A70" s="6" t="inlineStr"/>
      <c r="B70" s="6" t="inlineStr">
        <is>
          <t>ST-1 + ST-2</t>
        </is>
      </c>
      <c r="C70" s="6" t="inlineStr">
        <is>
          <t>RST-1</t>
        </is>
      </c>
      <c r="D70" s="6" t="inlineStr"/>
      <c r="E70" s="6" t="inlineStr"/>
      <c r="F70" s="6" t="inlineStr"/>
      <c r="G70" s="6" t="inlineStr">
        <is>
          <t>44 treads + 48 risers, 62.2" wide (count, not SF)</t>
        </is>
      </c>
    </row>
    <row r="72">
      <c r="A72" s="4" t="inlineStr">
        <is>
          <t>BASE AND WALL TILE</t>
        </is>
      </c>
      <c r="B72" s="5" t="n"/>
      <c r="C72" s="5" t="n"/>
      <c r="D72" s="5" t="n"/>
      <c r="E72" s="5" t="n"/>
      <c r="F72" s="5" t="n"/>
      <c r="G72" s="5" t="n"/>
    </row>
    <row r="73" ht="30" customHeight="1">
      <c r="A73" s="3" t="inlineStr">
        <is>
          <t>LEVEL</t>
        </is>
      </c>
      <c r="B73" s="3" t="inlineStr">
        <is>
          <t>ROOM</t>
        </is>
      </c>
      <c r="C73" s="3" t="inlineStr">
        <is>
          <t>ITEM</t>
        </is>
      </c>
      <c r="D73" s="3" t="inlineStr">
        <is>
          <t>LENGTH / AREA</t>
        </is>
      </c>
      <c r="E73" s="3" t="inlineStr">
        <is>
          <t>WASTE %</t>
        </is>
      </c>
      <c r="F73" s="3" t="inlineStr">
        <is>
          <t>ORDER QTY</t>
        </is>
      </c>
      <c r="G73" s="3" t="inlineStr">
        <is>
          <t>NOTES</t>
        </is>
      </c>
    </row>
    <row r="74">
      <c r="A74" s="6" t="inlineStr">
        <is>
          <t>L1</t>
        </is>
      </c>
      <c r="B74" s="6" t="inlineStr">
        <is>
          <t>101 CLASSROOM</t>
        </is>
      </c>
      <c r="C74" s="6" t="inlineStr">
        <is>
          <t>RB-1</t>
        </is>
      </c>
      <c r="D74" s="9" t="n">
        <v>112.8</v>
      </c>
      <c r="E74" s="14" t="n">
        <v>0.05</v>
      </c>
      <c r="F74" s="15">
        <f>D74*(1+E74)</f>
        <v/>
      </c>
      <c r="G74" s="6" t="inlineStr">
        <is>
          <t>LF</t>
        </is>
      </c>
    </row>
    <row r="75">
      <c r="A75" s="6" t="inlineStr">
        <is>
          <t>L1</t>
        </is>
      </c>
      <c r="B75" s="6" t="inlineStr">
        <is>
          <t>102 CLASSROOM</t>
        </is>
      </c>
      <c r="C75" s="6" t="inlineStr">
        <is>
          <t>RB-1</t>
        </is>
      </c>
      <c r="D75" s="9" t="n">
        <v>112.8</v>
      </c>
      <c r="E75" s="14" t="n">
        <v>0.05</v>
      </c>
      <c r="F75" s="15">
        <f>D75*(1+E75)</f>
        <v/>
      </c>
      <c r="G75" s="6" t="inlineStr">
        <is>
          <t>LF</t>
        </is>
      </c>
    </row>
    <row r="76">
      <c r="A76" s="6" t="inlineStr">
        <is>
          <t>L1</t>
        </is>
      </c>
      <c r="B76" s="6" t="inlineStr">
        <is>
          <t>103 CLASSROOM</t>
        </is>
      </c>
      <c r="C76" s="6" t="inlineStr">
        <is>
          <t>RB-1</t>
        </is>
      </c>
      <c r="D76" s="9" t="n">
        <v>112.8</v>
      </c>
      <c r="E76" s="14" t="n">
        <v>0.05</v>
      </c>
      <c r="F76" s="15">
        <f>D76*(1+E76)</f>
        <v/>
      </c>
      <c r="G76" s="6" t="inlineStr">
        <is>
          <t>LF</t>
        </is>
      </c>
    </row>
    <row r="77">
      <c r="A77" s="6" t="inlineStr">
        <is>
          <t>L1</t>
        </is>
      </c>
      <c r="B77" s="6" t="inlineStr">
        <is>
          <t>104 CLASSROOM</t>
        </is>
      </c>
      <c r="C77" s="6" t="inlineStr">
        <is>
          <t>RB-1</t>
        </is>
      </c>
      <c r="D77" s="9" t="n">
        <v>112.8</v>
      </c>
      <c r="E77" s="14" t="n">
        <v>0.05</v>
      </c>
      <c r="F77" s="15">
        <f>D77*(1+E77)</f>
        <v/>
      </c>
      <c r="G77" s="6" t="inlineStr">
        <is>
          <t>LF</t>
        </is>
      </c>
    </row>
    <row r="78">
      <c r="A78" s="6" t="inlineStr">
        <is>
          <t>L1</t>
        </is>
      </c>
      <c r="B78" s="6" t="inlineStr">
        <is>
          <t>105 SMALL GROUP</t>
        </is>
      </c>
      <c r="C78" s="6" t="inlineStr">
        <is>
          <t>RB-1</t>
        </is>
      </c>
      <c r="D78" s="9" t="n">
        <v>90.09999999999999</v>
      </c>
      <c r="E78" s="14" t="n">
        <v>0.05</v>
      </c>
      <c r="F78" s="15">
        <f>D78*(1+E78)</f>
        <v/>
      </c>
      <c r="G78" s="6" t="inlineStr">
        <is>
          <t>LF</t>
        </is>
      </c>
    </row>
    <row r="79">
      <c r="A79" s="6" t="inlineStr">
        <is>
          <t>L1</t>
        </is>
      </c>
      <c r="B79" s="6" t="inlineStr">
        <is>
          <t>106 STAFF WORKROOM</t>
        </is>
      </c>
      <c r="C79" s="6" t="inlineStr">
        <is>
          <t>RB-1</t>
        </is>
      </c>
      <c r="D79" s="9" t="n">
        <v>86.8</v>
      </c>
      <c r="E79" s="14" t="n">
        <v>0.05</v>
      </c>
      <c r="F79" s="15">
        <f>D79*(1+E79)</f>
        <v/>
      </c>
      <c r="G79" s="6" t="inlineStr">
        <is>
          <t>LF</t>
        </is>
      </c>
    </row>
    <row r="80">
      <c r="A80" s="6" t="inlineStr">
        <is>
          <t>L1</t>
        </is>
      </c>
      <c r="B80" s="6" t="inlineStr">
        <is>
          <t>107 STAFF TOILET</t>
        </is>
      </c>
      <c r="C80" s="6" t="inlineStr">
        <is>
          <t>PT-1B</t>
        </is>
      </c>
      <c r="D80" s="9" t="n">
        <v>27.4</v>
      </c>
      <c r="E80" s="14" t="n">
        <v>0.05</v>
      </c>
      <c r="F80" s="15">
        <f>D80*(1+E80)</f>
        <v/>
      </c>
      <c r="G80" s="6" t="inlineStr">
        <is>
          <t>LF</t>
        </is>
      </c>
    </row>
    <row r="81">
      <c r="A81" s="6" t="inlineStr">
        <is>
          <t>L1</t>
        </is>
      </c>
      <c r="B81" s="6" t="inlineStr">
        <is>
          <t>107 STAFF TOILET</t>
        </is>
      </c>
      <c r="C81" s="6" t="inlineStr">
        <is>
          <t>CT-1 WAINSCOT</t>
        </is>
      </c>
      <c r="D81" s="9" t="n">
        <v>191.7</v>
      </c>
      <c r="E81" s="14" t="n">
        <v>0.1</v>
      </c>
      <c r="F81" s="15">
        <f>D81*(1+E81)</f>
        <v/>
      </c>
      <c r="G81" s="6" t="inlineStr">
        <is>
          <t>SF (perimeter less doors x 7'-0")</t>
        </is>
      </c>
    </row>
    <row r="82">
      <c r="A82" s="6" t="inlineStr">
        <is>
          <t>L1</t>
        </is>
      </c>
      <c r="B82" s="6" t="inlineStr">
        <is>
          <t>109 BOYS</t>
        </is>
      </c>
      <c r="C82" s="6" t="inlineStr">
        <is>
          <t>PT-1B</t>
        </is>
      </c>
      <c r="D82" s="9" t="n">
        <v>52.1</v>
      </c>
      <c r="E82" s="14" t="n">
        <v>0.05</v>
      </c>
      <c r="F82" s="15">
        <f>D82*(1+E82)</f>
        <v/>
      </c>
      <c r="G82" s="6" t="inlineStr">
        <is>
          <t>LF</t>
        </is>
      </c>
    </row>
    <row r="83">
      <c r="A83" s="6" t="inlineStr">
        <is>
          <t>L1</t>
        </is>
      </c>
      <c r="B83" s="6" t="inlineStr">
        <is>
          <t>109 BOYS</t>
        </is>
      </c>
      <c r="C83" s="6" t="inlineStr">
        <is>
          <t>CT-1 WAINSCOT</t>
        </is>
      </c>
      <c r="D83" s="9" t="n">
        <v>364.9</v>
      </c>
      <c r="E83" s="14" t="n">
        <v>0.1</v>
      </c>
      <c r="F83" s="15">
        <f>D83*(1+E83)</f>
        <v/>
      </c>
      <c r="G83" s="6" t="inlineStr">
        <is>
          <t>SF (perimeter less doors x 7'-0")</t>
        </is>
      </c>
    </row>
    <row r="84">
      <c r="A84" s="6" t="inlineStr">
        <is>
          <t>L1</t>
        </is>
      </c>
      <c r="B84" s="6" t="inlineStr">
        <is>
          <t>110 CUST.</t>
        </is>
      </c>
      <c r="C84" s="6" t="inlineStr">
        <is>
          <t>RB-1</t>
        </is>
      </c>
      <c r="D84" s="9" t="n">
        <v>26.8</v>
      </c>
      <c r="E84" s="14" t="n">
        <v>0.05</v>
      </c>
      <c r="F84" s="15">
        <f>D84*(1+E84)</f>
        <v/>
      </c>
      <c r="G84" s="6" t="inlineStr">
        <is>
          <t>LF</t>
        </is>
      </c>
    </row>
    <row r="85">
      <c r="A85" s="6" t="inlineStr">
        <is>
          <t>L1</t>
        </is>
      </c>
      <c r="B85" s="6" t="inlineStr">
        <is>
          <t>111 GIRLS</t>
        </is>
      </c>
      <c r="C85" s="6" t="inlineStr">
        <is>
          <t>PT-1B</t>
        </is>
      </c>
      <c r="D85" s="9" t="n">
        <v>52.1</v>
      </c>
      <c r="E85" s="14" t="n">
        <v>0.05</v>
      </c>
      <c r="F85" s="15">
        <f>D85*(1+E85)</f>
        <v/>
      </c>
      <c r="G85" s="6" t="inlineStr">
        <is>
          <t>LF</t>
        </is>
      </c>
    </row>
    <row r="86">
      <c r="A86" s="6" t="inlineStr">
        <is>
          <t>L1</t>
        </is>
      </c>
      <c r="B86" s="6" t="inlineStr">
        <is>
          <t>111 GIRLS</t>
        </is>
      </c>
      <c r="C86" s="6" t="inlineStr">
        <is>
          <t>CT-1 WAINSCOT</t>
        </is>
      </c>
      <c r="D86" s="9" t="n">
        <v>364.9</v>
      </c>
      <c r="E86" s="14" t="n">
        <v>0.1</v>
      </c>
      <c r="F86" s="15">
        <f>D86*(1+E86)</f>
        <v/>
      </c>
      <c r="G86" s="6" t="inlineStr">
        <is>
          <t>SF (perimeter less doors x 7'-0")</t>
        </is>
      </c>
    </row>
    <row r="87">
      <c r="A87" s="6" t="inlineStr">
        <is>
          <t>L1</t>
        </is>
      </c>
      <c r="B87" s="6" t="inlineStr">
        <is>
          <t>112 MECH. / ELEC.</t>
        </is>
      </c>
      <c r="C87" s="6" t="inlineStr">
        <is>
          <t>RB-1</t>
        </is>
      </c>
      <c r="D87" s="9" t="n">
        <v>87.8</v>
      </c>
      <c r="E87" s="14" t="n">
        <v>0.05</v>
      </c>
      <c r="F87" s="15">
        <f>D87*(1+E87)</f>
        <v/>
      </c>
      <c r="G87" s="6" t="inlineStr">
        <is>
          <t>LF</t>
        </is>
      </c>
    </row>
    <row r="88">
      <c r="A88" s="6" t="inlineStr">
        <is>
          <t>L1</t>
        </is>
      </c>
      <c r="B88" s="6" t="inlineStr">
        <is>
          <t>113 CLASSROOM</t>
        </is>
      </c>
      <c r="C88" s="6" t="inlineStr">
        <is>
          <t>RB-1</t>
        </is>
      </c>
      <c r="D88" s="9" t="n">
        <v>112.8</v>
      </c>
      <c r="E88" s="14" t="n">
        <v>0.05</v>
      </c>
      <c r="F88" s="15">
        <f>D88*(1+E88)</f>
        <v/>
      </c>
      <c r="G88" s="6" t="inlineStr">
        <is>
          <t>LF</t>
        </is>
      </c>
    </row>
    <row r="89">
      <c r="A89" s="6" t="inlineStr">
        <is>
          <t>L1</t>
        </is>
      </c>
      <c r="B89" s="6" t="inlineStr">
        <is>
          <t>114 CLASSROOM</t>
        </is>
      </c>
      <c r="C89" s="6" t="inlineStr">
        <is>
          <t>RB-1</t>
        </is>
      </c>
      <c r="D89" s="9" t="n">
        <v>112.8</v>
      </c>
      <c r="E89" s="14" t="n">
        <v>0.05</v>
      </c>
      <c r="F89" s="15">
        <f>D89*(1+E89)</f>
        <v/>
      </c>
      <c r="G89" s="6" t="inlineStr">
        <is>
          <t>LF</t>
        </is>
      </c>
    </row>
    <row r="90">
      <c r="A90" s="6" t="inlineStr">
        <is>
          <t>L1</t>
        </is>
      </c>
      <c r="B90" s="6" t="inlineStr">
        <is>
          <t>115 CLASSROOM</t>
        </is>
      </c>
      <c r="C90" s="6" t="inlineStr">
        <is>
          <t>RB-1</t>
        </is>
      </c>
      <c r="D90" s="9" t="n">
        <v>112.8</v>
      </c>
      <c r="E90" s="14" t="n">
        <v>0.05</v>
      </c>
      <c r="F90" s="15">
        <f>D90*(1+E90)</f>
        <v/>
      </c>
      <c r="G90" s="6" t="inlineStr">
        <is>
          <t>LF</t>
        </is>
      </c>
    </row>
    <row r="91">
      <c r="A91" s="6" t="inlineStr">
        <is>
          <t>L1</t>
        </is>
      </c>
      <c r="B91" s="6" t="inlineStr">
        <is>
          <t>100 CORRIDOR</t>
        </is>
      </c>
      <c r="C91" s="6" t="inlineStr">
        <is>
          <t>RB-1</t>
        </is>
      </c>
      <c r="D91" s="9" t="n">
        <v>232.8</v>
      </c>
      <c r="E91" s="14" t="n">
        <v>0.05</v>
      </c>
      <c r="F91" s="15">
        <f>D91*(1+E91)</f>
        <v/>
      </c>
      <c r="G91" s="6" t="inlineStr">
        <is>
          <t>LF</t>
        </is>
      </c>
    </row>
    <row r="92">
      <c r="A92" s="6" t="inlineStr">
        <is>
          <t>L1</t>
        </is>
      </c>
      <c r="B92" s="6" t="inlineStr">
        <is>
          <t>100A LINK</t>
        </is>
      </c>
      <c r="C92" s="6" t="inlineStr">
        <is>
          <t>RB-1</t>
        </is>
      </c>
      <c r="D92" s="9" t="n">
        <v>12.4</v>
      </c>
      <c r="E92" s="14" t="n">
        <v>0.05</v>
      </c>
      <c r="F92" s="15">
        <f>D92*(1+E92)</f>
        <v/>
      </c>
      <c r="G92" s="6" t="inlineStr">
        <is>
          <t>LF</t>
        </is>
      </c>
    </row>
    <row r="93">
      <c r="A93" s="6" t="inlineStr">
        <is>
          <t>L2</t>
        </is>
      </c>
      <c r="B93" s="6" t="inlineStr">
        <is>
          <t>201 CLASSROOM</t>
        </is>
      </c>
      <c r="C93" s="6" t="inlineStr">
        <is>
          <t>RB-1</t>
        </is>
      </c>
      <c r="D93" s="9" t="n">
        <v>112.8</v>
      </c>
      <c r="E93" s="14" t="n">
        <v>0.05</v>
      </c>
      <c r="F93" s="15">
        <f>D93*(1+E93)</f>
        <v/>
      </c>
      <c r="G93" s="6" t="inlineStr">
        <is>
          <t>LF</t>
        </is>
      </c>
    </row>
    <row r="94">
      <c r="A94" s="6" t="inlineStr">
        <is>
          <t>L2</t>
        </is>
      </c>
      <c r="B94" s="6" t="inlineStr">
        <is>
          <t>202 CLASSROOM</t>
        </is>
      </c>
      <c r="C94" s="6" t="inlineStr">
        <is>
          <t>RB-1</t>
        </is>
      </c>
      <c r="D94" s="9" t="n">
        <v>112.8</v>
      </c>
      <c r="E94" s="14" t="n">
        <v>0.05</v>
      </c>
      <c r="F94" s="15">
        <f>D94*(1+E94)</f>
        <v/>
      </c>
      <c r="G94" s="6" t="inlineStr">
        <is>
          <t>LF</t>
        </is>
      </c>
    </row>
    <row r="95">
      <c r="A95" s="6" t="inlineStr">
        <is>
          <t>L2</t>
        </is>
      </c>
      <c r="B95" s="6" t="inlineStr">
        <is>
          <t>203 CLASSROOM</t>
        </is>
      </c>
      <c r="C95" s="6" t="inlineStr">
        <is>
          <t>RB-1</t>
        </is>
      </c>
      <c r="D95" s="9" t="n">
        <v>112.8</v>
      </c>
      <c r="E95" s="14" t="n">
        <v>0.05</v>
      </c>
      <c r="F95" s="15">
        <f>D95*(1+E95)</f>
        <v/>
      </c>
      <c r="G95" s="6" t="inlineStr">
        <is>
          <t>LF</t>
        </is>
      </c>
    </row>
    <row r="96">
      <c r="A96" s="6" t="inlineStr">
        <is>
          <t>L2</t>
        </is>
      </c>
      <c r="B96" s="6" t="inlineStr">
        <is>
          <t>204 CLASSROOM</t>
        </is>
      </c>
      <c r="C96" s="6" t="inlineStr">
        <is>
          <t>RB-1</t>
        </is>
      </c>
      <c r="D96" s="9" t="n">
        <v>112.8</v>
      </c>
      <c r="E96" s="14" t="n">
        <v>0.05</v>
      </c>
      <c r="F96" s="15">
        <f>D96*(1+E96)</f>
        <v/>
      </c>
      <c r="G96" s="6" t="inlineStr">
        <is>
          <t>LF</t>
        </is>
      </c>
    </row>
    <row r="97">
      <c r="A97" s="6" t="inlineStr">
        <is>
          <t>L2</t>
        </is>
      </c>
      <c r="B97" s="6" t="inlineStr">
        <is>
          <t>205 SMALL GROUP</t>
        </is>
      </c>
      <c r="C97" s="6" t="inlineStr">
        <is>
          <t>RB-1</t>
        </is>
      </c>
      <c r="D97" s="9" t="n">
        <v>90.09999999999999</v>
      </c>
      <c r="E97" s="14" t="n">
        <v>0.05</v>
      </c>
      <c r="F97" s="15">
        <f>D97*(1+E97)</f>
        <v/>
      </c>
      <c r="G97" s="6" t="inlineStr">
        <is>
          <t>LF</t>
        </is>
      </c>
    </row>
    <row r="98">
      <c r="A98" s="6" t="inlineStr">
        <is>
          <t>L2</t>
        </is>
      </c>
      <c r="B98" s="6" t="inlineStr">
        <is>
          <t>206 TEACHER PLANNING</t>
        </is>
      </c>
      <c r="C98" s="6" t="inlineStr">
        <is>
          <t>RB-1</t>
        </is>
      </c>
      <c r="D98" s="9" t="n">
        <v>86.8</v>
      </c>
      <c r="E98" s="14" t="n">
        <v>0.05</v>
      </c>
      <c r="F98" s="15">
        <f>D98*(1+E98)</f>
        <v/>
      </c>
      <c r="G98" s="6" t="inlineStr">
        <is>
          <t>LF</t>
        </is>
      </c>
    </row>
    <row r="99">
      <c r="A99" s="6" t="inlineStr">
        <is>
          <t>L2</t>
        </is>
      </c>
      <c r="B99" s="6" t="inlineStr">
        <is>
          <t>207 STAFF TOILET</t>
        </is>
      </c>
      <c r="C99" s="6" t="inlineStr">
        <is>
          <t>PT-1B</t>
        </is>
      </c>
      <c r="D99" s="9" t="n">
        <v>27.4</v>
      </c>
      <c r="E99" s="14" t="n">
        <v>0.05</v>
      </c>
      <c r="F99" s="15">
        <f>D99*(1+E99)</f>
        <v/>
      </c>
      <c r="G99" s="6" t="inlineStr">
        <is>
          <t>LF</t>
        </is>
      </c>
    </row>
    <row r="100">
      <c r="A100" s="6" t="inlineStr">
        <is>
          <t>L2</t>
        </is>
      </c>
      <c r="B100" s="6" t="inlineStr">
        <is>
          <t>207 STAFF TOILET</t>
        </is>
      </c>
      <c r="C100" s="6" t="inlineStr">
        <is>
          <t>CT-1 WAINSCOT</t>
        </is>
      </c>
      <c r="D100" s="9" t="n">
        <v>191.7</v>
      </c>
      <c r="E100" s="14" t="n">
        <v>0.1</v>
      </c>
      <c r="F100" s="15">
        <f>D100*(1+E100)</f>
        <v/>
      </c>
      <c r="G100" s="6" t="inlineStr">
        <is>
          <t>SF (perimeter less doors x 7'-0")</t>
        </is>
      </c>
    </row>
    <row r="101">
      <c r="A101" s="6" t="inlineStr">
        <is>
          <t>L2</t>
        </is>
      </c>
      <c r="B101" s="6" t="inlineStr">
        <is>
          <t>209 BOYS</t>
        </is>
      </c>
      <c r="C101" s="6" t="inlineStr">
        <is>
          <t>PT-1B</t>
        </is>
      </c>
      <c r="D101" s="9" t="n">
        <v>52.1</v>
      </c>
      <c r="E101" s="14" t="n">
        <v>0.05</v>
      </c>
      <c r="F101" s="15">
        <f>D101*(1+E101)</f>
        <v/>
      </c>
      <c r="G101" s="6" t="inlineStr">
        <is>
          <t>LF</t>
        </is>
      </c>
    </row>
    <row r="102">
      <c r="A102" s="6" t="inlineStr">
        <is>
          <t>L2</t>
        </is>
      </c>
      <c r="B102" s="6" t="inlineStr">
        <is>
          <t>209 BOYS</t>
        </is>
      </c>
      <c r="C102" s="6" t="inlineStr">
        <is>
          <t>CT-1 WAINSCOT</t>
        </is>
      </c>
      <c r="D102" s="9" t="n">
        <v>364.9</v>
      </c>
      <c r="E102" s="14" t="n">
        <v>0.1</v>
      </c>
      <c r="F102" s="15">
        <f>D102*(1+E102)</f>
        <v/>
      </c>
      <c r="G102" s="6" t="inlineStr">
        <is>
          <t>SF (perimeter less doors x 7'-0")</t>
        </is>
      </c>
    </row>
    <row r="103">
      <c r="A103" s="6" t="inlineStr">
        <is>
          <t>L2</t>
        </is>
      </c>
      <c r="B103" s="6" t="inlineStr">
        <is>
          <t>210 CUST.</t>
        </is>
      </c>
      <c r="C103" s="6" t="inlineStr">
        <is>
          <t>RB-1</t>
        </is>
      </c>
      <c r="D103" s="9" t="n">
        <v>26.8</v>
      </c>
      <c r="E103" s="14" t="n">
        <v>0.05</v>
      </c>
      <c r="F103" s="15">
        <f>D103*(1+E103)</f>
        <v/>
      </c>
      <c r="G103" s="6" t="inlineStr">
        <is>
          <t>LF</t>
        </is>
      </c>
    </row>
    <row r="104">
      <c r="A104" s="6" t="inlineStr">
        <is>
          <t>L2</t>
        </is>
      </c>
      <c r="B104" s="6" t="inlineStr">
        <is>
          <t>211 GIRLS</t>
        </is>
      </c>
      <c r="C104" s="6" t="inlineStr">
        <is>
          <t>PT-1B</t>
        </is>
      </c>
      <c r="D104" s="9" t="n">
        <v>52.1</v>
      </c>
      <c r="E104" s="14" t="n">
        <v>0.05</v>
      </c>
      <c r="F104" s="15">
        <f>D104*(1+E104)</f>
        <v/>
      </c>
      <c r="G104" s="6" t="inlineStr">
        <is>
          <t>LF</t>
        </is>
      </c>
    </row>
    <row r="105">
      <c r="A105" s="6" t="inlineStr">
        <is>
          <t>L2</t>
        </is>
      </c>
      <c r="B105" s="6" t="inlineStr">
        <is>
          <t>211 GIRLS</t>
        </is>
      </c>
      <c r="C105" s="6" t="inlineStr">
        <is>
          <t>CT-1 WAINSCOT</t>
        </is>
      </c>
      <c r="D105" s="9" t="n">
        <v>364.9</v>
      </c>
      <c r="E105" s="14" t="n">
        <v>0.1</v>
      </c>
      <c r="F105" s="15">
        <f>D105*(1+E105)</f>
        <v/>
      </c>
      <c r="G105" s="6" t="inlineStr">
        <is>
          <t>SF (perimeter less doors x 7'-0")</t>
        </is>
      </c>
    </row>
    <row r="106">
      <c r="A106" s="6" t="inlineStr">
        <is>
          <t>L2</t>
        </is>
      </c>
      <c r="B106" s="6" t="inlineStr">
        <is>
          <t>212 STORAGE / IDF</t>
        </is>
      </c>
      <c r="C106" s="6" t="inlineStr">
        <is>
          <t>RB-1</t>
        </is>
      </c>
      <c r="D106" s="9" t="n">
        <v>94.09999999999999</v>
      </c>
      <c r="E106" s="14" t="n">
        <v>0.05</v>
      </c>
      <c r="F106" s="15">
        <f>D106*(1+E106)</f>
        <v/>
      </c>
      <c r="G106" s="6" t="inlineStr">
        <is>
          <t>LF</t>
        </is>
      </c>
    </row>
    <row r="107">
      <c r="A107" s="6" t="inlineStr">
        <is>
          <t>L2</t>
        </is>
      </c>
      <c r="B107" s="6" t="inlineStr">
        <is>
          <t>213 CLASSROOM</t>
        </is>
      </c>
      <c r="C107" s="6" t="inlineStr">
        <is>
          <t>RB-1</t>
        </is>
      </c>
      <c r="D107" s="9" t="n">
        <v>112.8</v>
      </c>
      <c r="E107" s="14" t="n">
        <v>0.05</v>
      </c>
      <c r="F107" s="15">
        <f>D107*(1+E107)</f>
        <v/>
      </c>
      <c r="G107" s="6" t="inlineStr">
        <is>
          <t>LF</t>
        </is>
      </c>
    </row>
    <row r="108">
      <c r="A108" s="6" t="inlineStr">
        <is>
          <t>L2</t>
        </is>
      </c>
      <c r="B108" s="6" t="inlineStr">
        <is>
          <t>214 CLASSROOM</t>
        </is>
      </c>
      <c r="C108" s="6" t="inlineStr">
        <is>
          <t>RB-1</t>
        </is>
      </c>
      <c r="D108" s="9" t="n">
        <v>112.8</v>
      </c>
      <c r="E108" s="14" t="n">
        <v>0.05</v>
      </c>
      <c r="F108" s="15">
        <f>D108*(1+E108)</f>
        <v/>
      </c>
      <c r="G108" s="6" t="inlineStr">
        <is>
          <t>LF</t>
        </is>
      </c>
    </row>
    <row r="109">
      <c r="A109" s="6" t="inlineStr">
        <is>
          <t>L2</t>
        </is>
      </c>
      <c r="B109" s="6" t="inlineStr">
        <is>
          <t>215 CLASSROOM</t>
        </is>
      </c>
      <c r="C109" s="6" t="inlineStr">
        <is>
          <t>RB-1</t>
        </is>
      </c>
      <c r="D109" s="9" t="n">
        <v>112.8</v>
      </c>
      <c r="E109" s="14" t="n">
        <v>0.05</v>
      </c>
      <c r="F109" s="15">
        <f>D109*(1+E109)</f>
        <v/>
      </c>
      <c r="G109" s="6" t="inlineStr">
        <is>
          <t>LF</t>
        </is>
      </c>
    </row>
    <row r="110">
      <c r="A110" s="6" t="inlineStr">
        <is>
          <t>L2</t>
        </is>
      </c>
      <c r="B110" s="6" t="inlineStr">
        <is>
          <t>200 CORRIDOR</t>
        </is>
      </c>
      <c r="C110" s="6" t="inlineStr">
        <is>
          <t>RB-1</t>
        </is>
      </c>
      <c r="D110" s="9" t="n">
        <v>260.8</v>
      </c>
      <c r="E110" s="14" t="n">
        <v>0.05</v>
      </c>
      <c r="F110" s="15">
        <f>D110*(1+E110)</f>
        <v/>
      </c>
      <c r="G110" s="6" t="inlineStr">
        <is>
          <t>LF</t>
        </is>
      </c>
    </row>
    <row r="111">
      <c r="A111" s="10" t="inlineStr"/>
      <c r="B111" s="10" t="inlineStr">
        <is>
          <t>TOTAL</t>
        </is>
      </c>
      <c r="C111" s="10" t="inlineStr">
        <is>
          <t>PT-1B</t>
        </is>
      </c>
      <c r="D111" s="13" t="n">
        <v>263.3</v>
      </c>
      <c r="E111" s="16" t="n">
        <v>0.05</v>
      </c>
      <c r="F111" s="17">
        <f>D111*(1+E111)</f>
        <v/>
      </c>
      <c r="G111" s="10" t="inlineStr">
        <is>
          <t>LF</t>
        </is>
      </c>
    </row>
    <row r="112">
      <c r="A112" s="10" t="inlineStr"/>
      <c r="B112" s="10" t="inlineStr">
        <is>
          <t>TOTAL</t>
        </is>
      </c>
      <c r="C112" s="10" t="inlineStr">
        <is>
          <t>RB-1</t>
        </is>
      </c>
      <c r="D112" s="13" t="n">
        <v>2674.4</v>
      </c>
      <c r="E112" s="16" t="n">
        <v>0.05</v>
      </c>
      <c r="F112" s="17">
        <f>D112*(1+E112)</f>
        <v/>
      </c>
      <c r="G112" s="10" t="inlineStr">
        <is>
          <t>LF</t>
        </is>
      </c>
    </row>
    <row r="113">
      <c r="A113" s="10" t="inlineStr"/>
      <c r="B113" s="10" t="inlineStr">
        <is>
          <t>TOTAL</t>
        </is>
      </c>
      <c r="C113" s="10" t="inlineStr">
        <is>
          <t>CT-1</t>
        </is>
      </c>
      <c r="D113" s="13" t="n">
        <v>1842.9</v>
      </c>
      <c r="E113" s="16" t="n">
        <v>0.1</v>
      </c>
      <c r="F113" s="17">
        <f>D113*(1+E113)</f>
        <v/>
      </c>
      <c r="G113" s="10" t="inlineStr">
        <is>
          <t>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0" customWidth="1" min="11" max="11"/>
  </cols>
  <sheetData>
    <row r="1">
      <c r="A1" s="1" t="inlineStr">
        <is>
          <t>DOORS-FRAMES-HW</t>
        </is>
      </c>
    </row>
    <row r="3" ht="30" customHeight="1">
      <c r="A3" s="3" t="inlineStr">
        <is>
          <t>DOOR</t>
        </is>
      </c>
      <c r="B3" s="3" t="inlineStr">
        <is>
          <t>LEVEL</t>
        </is>
      </c>
      <c r="C3" s="3" t="inlineStr">
        <is>
          <t>ROOM</t>
        </is>
      </c>
      <c r="D3" s="3" t="inlineStr">
        <is>
          <t>SIZE</t>
        </is>
      </c>
      <c r="E3" s="3" t="inlineStr">
        <is>
          <t>DOOR TYPE</t>
        </is>
      </c>
      <c r="F3" s="3" t="inlineStr">
        <is>
          <t>DOOR MATL</t>
        </is>
      </c>
      <c r="G3" s="3" t="inlineStr">
        <is>
          <t>FRAME TYPE</t>
        </is>
      </c>
      <c r="H3" s="3" t="inlineStr">
        <is>
          <t>FRAME MATL</t>
        </is>
      </c>
      <c r="I3" s="3" t="inlineStr">
        <is>
          <t>RATING</t>
        </is>
      </c>
      <c r="J3" s="3" t="inlineStr">
        <is>
          <t>HW SET</t>
        </is>
      </c>
      <c r="K3" s="3" t="inlineStr">
        <is>
          <t>REMARKS</t>
        </is>
      </c>
    </row>
    <row r="4">
      <c r="A4" s="6" t="inlineStr">
        <is>
          <t>101</t>
        </is>
      </c>
      <c r="B4" s="6" t="inlineStr">
        <is>
          <t>L1</t>
        </is>
      </c>
      <c r="C4" s="6" t="inlineStr">
        <is>
          <t>101</t>
        </is>
      </c>
      <c r="D4" s="6" t="inlineStr">
        <is>
          <t>3'-0" x 7'-0"</t>
        </is>
      </c>
      <c r="E4" s="6" t="inlineStr">
        <is>
          <t>B</t>
        </is>
      </c>
      <c r="F4" s="6" t="inlineStr">
        <is>
          <t>WD</t>
        </is>
      </c>
      <c r="G4" s="6" t="inlineStr">
        <is>
          <t>F2</t>
        </is>
      </c>
      <c r="H4" s="6" t="inlineStr">
        <is>
          <t>HM</t>
        </is>
      </c>
      <c r="I4" s="6" t="inlineStr">
        <is>
          <t>-</t>
        </is>
      </c>
      <c r="J4" s="6" t="inlineStr">
        <is>
          <t>HW-1</t>
        </is>
      </c>
      <c r="K4" s="6" t="inlineStr"/>
    </row>
    <row r="5">
      <c r="A5" s="6" t="inlineStr">
        <is>
          <t>102</t>
        </is>
      </c>
      <c r="B5" s="6" t="inlineStr">
        <is>
          <t>L1</t>
        </is>
      </c>
      <c r="C5" s="6" t="inlineStr">
        <is>
          <t>102</t>
        </is>
      </c>
      <c r="D5" s="6" t="inlineStr">
        <is>
          <t>3'-0" x 7'-0"</t>
        </is>
      </c>
      <c r="E5" s="6" t="inlineStr">
        <is>
          <t>B</t>
        </is>
      </c>
      <c r="F5" s="6" t="inlineStr">
        <is>
          <t>WD</t>
        </is>
      </c>
      <c r="G5" s="6" t="inlineStr">
        <is>
          <t>F2</t>
        </is>
      </c>
      <c r="H5" s="6" t="inlineStr">
        <is>
          <t>HM</t>
        </is>
      </c>
      <c r="I5" s="6" t="inlineStr">
        <is>
          <t>-</t>
        </is>
      </c>
      <c r="J5" s="6" t="inlineStr">
        <is>
          <t>HW-1</t>
        </is>
      </c>
      <c r="K5" s="6" t="inlineStr"/>
    </row>
    <row r="6">
      <c r="A6" s="6" t="inlineStr">
        <is>
          <t>103</t>
        </is>
      </c>
      <c r="B6" s="6" t="inlineStr">
        <is>
          <t>L1</t>
        </is>
      </c>
      <c r="C6" s="6" t="inlineStr">
        <is>
          <t>103</t>
        </is>
      </c>
      <c r="D6" s="6" t="inlineStr">
        <is>
          <t>3'-0" x 7'-0"</t>
        </is>
      </c>
      <c r="E6" s="6" t="inlineStr">
        <is>
          <t>B</t>
        </is>
      </c>
      <c r="F6" s="6" t="inlineStr">
        <is>
          <t>WD</t>
        </is>
      </c>
      <c r="G6" s="6" t="inlineStr">
        <is>
          <t>F2</t>
        </is>
      </c>
      <c r="H6" s="6" t="inlineStr">
        <is>
          <t>HM</t>
        </is>
      </c>
      <c r="I6" s="6" t="inlineStr">
        <is>
          <t>-</t>
        </is>
      </c>
      <c r="J6" s="6" t="inlineStr">
        <is>
          <t>HW-1</t>
        </is>
      </c>
      <c r="K6" s="6" t="inlineStr"/>
    </row>
    <row r="7">
      <c r="A7" s="6" t="inlineStr">
        <is>
          <t>104</t>
        </is>
      </c>
      <c r="B7" s="6" t="inlineStr">
        <is>
          <t>L1</t>
        </is>
      </c>
      <c r="C7" s="6" t="inlineStr">
        <is>
          <t>104</t>
        </is>
      </c>
      <c r="D7" s="6" t="inlineStr">
        <is>
          <t>3'-0" x 7'-0"</t>
        </is>
      </c>
      <c r="E7" s="6" t="inlineStr">
        <is>
          <t>B</t>
        </is>
      </c>
      <c r="F7" s="6" t="inlineStr">
        <is>
          <t>WD</t>
        </is>
      </c>
      <c r="G7" s="6" t="inlineStr">
        <is>
          <t>F2</t>
        </is>
      </c>
      <c r="H7" s="6" t="inlineStr">
        <is>
          <t>HM</t>
        </is>
      </c>
      <c r="I7" s="6" t="inlineStr">
        <is>
          <t>-</t>
        </is>
      </c>
      <c r="J7" s="6" t="inlineStr">
        <is>
          <t>HW-1</t>
        </is>
      </c>
      <c r="K7" s="6" t="inlineStr"/>
    </row>
    <row r="8">
      <c r="A8" s="6" t="inlineStr">
        <is>
          <t>113</t>
        </is>
      </c>
      <c r="B8" s="6" t="inlineStr">
        <is>
          <t>L1</t>
        </is>
      </c>
      <c r="C8" s="6" t="inlineStr">
        <is>
          <t>113</t>
        </is>
      </c>
      <c r="D8" s="6" t="inlineStr">
        <is>
          <t>3'-0" x 7'-0"</t>
        </is>
      </c>
      <c r="E8" s="6" t="inlineStr">
        <is>
          <t>B</t>
        </is>
      </c>
      <c r="F8" s="6" t="inlineStr">
        <is>
          <t>WD</t>
        </is>
      </c>
      <c r="G8" s="6" t="inlineStr">
        <is>
          <t>F2</t>
        </is>
      </c>
      <c r="H8" s="6" t="inlineStr">
        <is>
          <t>HM</t>
        </is>
      </c>
      <c r="I8" s="6" t="inlineStr">
        <is>
          <t>-</t>
        </is>
      </c>
      <c r="J8" s="6" t="inlineStr">
        <is>
          <t>HW-1</t>
        </is>
      </c>
      <c r="K8" s="6" t="inlineStr"/>
    </row>
    <row r="9">
      <c r="A9" s="6" t="inlineStr">
        <is>
          <t>114</t>
        </is>
      </c>
      <c r="B9" s="6" t="inlineStr">
        <is>
          <t>L1</t>
        </is>
      </c>
      <c r="C9" s="6" t="inlineStr">
        <is>
          <t>114</t>
        </is>
      </c>
      <c r="D9" s="6" t="inlineStr">
        <is>
          <t>3'-0" x 7'-0"</t>
        </is>
      </c>
      <c r="E9" s="6" t="inlineStr">
        <is>
          <t>B</t>
        </is>
      </c>
      <c r="F9" s="6" t="inlineStr">
        <is>
          <t>WD</t>
        </is>
      </c>
      <c r="G9" s="6" t="inlineStr">
        <is>
          <t>F2</t>
        </is>
      </c>
      <c r="H9" s="6" t="inlineStr">
        <is>
          <t>HM</t>
        </is>
      </c>
      <c r="I9" s="6" t="inlineStr">
        <is>
          <t>-</t>
        </is>
      </c>
      <c r="J9" s="6" t="inlineStr">
        <is>
          <t>HW-1</t>
        </is>
      </c>
      <c r="K9" s="6" t="inlineStr"/>
    </row>
    <row r="10">
      <c r="A10" s="6" t="inlineStr">
        <is>
          <t>115</t>
        </is>
      </c>
      <c r="B10" s="6" t="inlineStr">
        <is>
          <t>L1</t>
        </is>
      </c>
      <c r="C10" s="6" t="inlineStr">
        <is>
          <t>115</t>
        </is>
      </c>
      <c r="D10" s="6" t="inlineStr">
        <is>
          <t>3'-0" x 7'-0"</t>
        </is>
      </c>
      <c r="E10" s="6" t="inlineStr">
        <is>
          <t>B</t>
        </is>
      </c>
      <c r="F10" s="6" t="inlineStr">
        <is>
          <t>WD</t>
        </is>
      </c>
      <c r="G10" s="6" t="inlineStr">
        <is>
          <t>F2</t>
        </is>
      </c>
      <c r="H10" s="6" t="inlineStr">
        <is>
          <t>HM</t>
        </is>
      </c>
      <c r="I10" s="6" t="inlineStr">
        <is>
          <t>-</t>
        </is>
      </c>
      <c r="J10" s="6" t="inlineStr">
        <is>
          <t>HW-1</t>
        </is>
      </c>
      <c r="K10" s="6" t="inlineStr"/>
    </row>
    <row r="11">
      <c r="A11" s="6" t="inlineStr">
        <is>
          <t>105</t>
        </is>
      </c>
      <c r="B11" s="6" t="inlineStr">
        <is>
          <t>L1</t>
        </is>
      </c>
      <c r="C11" s="6" t="inlineStr">
        <is>
          <t>105</t>
        </is>
      </c>
      <c r="D11" s="6" t="inlineStr">
        <is>
          <t>3'-0" x 7'-0"</t>
        </is>
      </c>
      <c r="E11" s="6" t="inlineStr">
        <is>
          <t>B</t>
        </is>
      </c>
      <c r="F11" s="6" t="inlineStr">
        <is>
          <t>WD</t>
        </is>
      </c>
      <c r="G11" s="6" t="inlineStr">
        <is>
          <t>F1</t>
        </is>
      </c>
      <c r="H11" s="6" t="inlineStr">
        <is>
          <t>HM</t>
        </is>
      </c>
      <c r="I11" s="6" t="inlineStr">
        <is>
          <t>-</t>
        </is>
      </c>
      <c r="J11" s="6" t="inlineStr">
        <is>
          <t>HW-1</t>
        </is>
      </c>
      <c r="K11" s="6" t="inlineStr"/>
    </row>
    <row r="12">
      <c r="A12" s="6" t="inlineStr">
        <is>
          <t>106</t>
        </is>
      </c>
      <c r="B12" s="6" t="inlineStr">
        <is>
          <t>L1</t>
        </is>
      </c>
      <c r="C12" s="6" t="inlineStr">
        <is>
          <t>106</t>
        </is>
      </c>
      <c r="D12" s="6" t="inlineStr">
        <is>
          <t>3'-0" x 7'-0"</t>
        </is>
      </c>
      <c r="E12" s="6" t="inlineStr">
        <is>
          <t>A</t>
        </is>
      </c>
      <c r="F12" s="6" t="inlineStr">
        <is>
          <t>WD</t>
        </is>
      </c>
      <c r="G12" s="6" t="inlineStr">
        <is>
          <t>F1</t>
        </is>
      </c>
      <c r="H12" s="6" t="inlineStr">
        <is>
          <t>HM</t>
        </is>
      </c>
      <c r="I12" s="6" t="inlineStr">
        <is>
          <t>-</t>
        </is>
      </c>
      <c r="J12" s="6" t="inlineStr">
        <is>
          <t>HW-10</t>
        </is>
      </c>
      <c r="K12" s="6" t="inlineStr"/>
    </row>
    <row r="13">
      <c r="A13" s="6" t="inlineStr">
        <is>
          <t>107</t>
        </is>
      </c>
      <c r="B13" s="6" t="inlineStr">
        <is>
          <t>L1</t>
        </is>
      </c>
      <c r="C13" s="6" t="inlineStr">
        <is>
          <t>107</t>
        </is>
      </c>
      <c r="D13" s="6" t="inlineStr">
        <is>
          <t>3'-0" x 7'-0"</t>
        </is>
      </c>
      <c r="E13" s="6" t="inlineStr">
        <is>
          <t>A</t>
        </is>
      </c>
      <c r="F13" s="6" t="inlineStr">
        <is>
          <t>WD</t>
        </is>
      </c>
      <c r="G13" s="6" t="inlineStr">
        <is>
          <t>F1</t>
        </is>
      </c>
      <c r="H13" s="6" t="inlineStr">
        <is>
          <t>HM</t>
        </is>
      </c>
      <c r="I13" s="6" t="inlineStr">
        <is>
          <t>-</t>
        </is>
      </c>
      <c r="J13" s="6" t="inlineStr">
        <is>
          <t>HW-3</t>
        </is>
      </c>
      <c r="K13" s="6" t="inlineStr"/>
    </row>
    <row r="14">
      <c r="A14" s="6" t="inlineStr">
        <is>
          <t>109</t>
        </is>
      </c>
      <c r="B14" s="6" t="inlineStr">
        <is>
          <t>L1</t>
        </is>
      </c>
      <c r="C14" s="6" t="inlineStr">
        <is>
          <t>109</t>
        </is>
      </c>
      <c r="D14" s="6" t="inlineStr">
        <is>
          <t>3'-0" x 7'-0"</t>
        </is>
      </c>
      <c r="E14" s="6" t="inlineStr">
        <is>
          <t>A</t>
        </is>
      </c>
      <c r="F14" s="6" t="inlineStr">
        <is>
          <t>WD</t>
        </is>
      </c>
      <c r="G14" s="6" t="inlineStr">
        <is>
          <t>F1</t>
        </is>
      </c>
      <c r="H14" s="6" t="inlineStr">
        <is>
          <t>HM</t>
        </is>
      </c>
      <c r="I14" s="6" t="inlineStr">
        <is>
          <t>-</t>
        </is>
      </c>
      <c r="J14" s="6" t="inlineStr">
        <is>
          <t>HW-2</t>
        </is>
      </c>
      <c r="K14" s="6" t="inlineStr"/>
    </row>
    <row r="15">
      <c r="A15" s="6" t="inlineStr">
        <is>
          <t>110</t>
        </is>
      </c>
      <c r="B15" s="6" t="inlineStr">
        <is>
          <t>L1</t>
        </is>
      </c>
      <c r="C15" s="6" t="inlineStr">
        <is>
          <t>110</t>
        </is>
      </c>
      <c r="D15" s="6" t="inlineStr">
        <is>
          <t>3'-0" x 7'-0"</t>
        </is>
      </c>
      <c r="E15" s="6" t="inlineStr">
        <is>
          <t>A</t>
        </is>
      </c>
      <c r="F15" s="6" t="inlineStr">
        <is>
          <t>WD</t>
        </is>
      </c>
      <c r="G15" s="6" t="inlineStr">
        <is>
          <t>F1</t>
        </is>
      </c>
      <c r="H15" s="6" t="inlineStr">
        <is>
          <t>HM</t>
        </is>
      </c>
      <c r="I15" s="6" t="inlineStr">
        <is>
          <t>-</t>
        </is>
      </c>
      <c r="J15" s="6" t="inlineStr">
        <is>
          <t>HW-9</t>
        </is>
      </c>
      <c r="K15" s="6" t="inlineStr"/>
    </row>
    <row r="16">
      <c r="A16" s="6" t="inlineStr">
        <is>
          <t>110B</t>
        </is>
      </c>
      <c r="B16" s="6" t="inlineStr">
        <is>
          <t>L1</t>
        </is>
      </c>
      <c r="C16" s="6" t="inlineStr">
        <is>
          <t>112</t>
        </is>
      </c>
      <c r="D16" s="6" t="inlineStr">
        <is>
          <t>3'-0" x 7'-0"</t>
        </is>
      </c>
      <c r="E16" s="6" t="inlineStr">
        <is>
          <t>A</t>
        </is>
      </c>
      <c r="F16" s="6" t="inlineStr">
        <is>
          <t>WD</t>
        </is>
      </c>
      <c r="G16" s="6" t="inlineStr">
        <is>
          <t>F1</t>
        </is>
      </c>
      <c r="H16" s="6" t="inlineStr">
        <is>
          <t>HM</t>
        </is>
      </c>
      <c r="I16" s="6" t="inlineStr">
        <is>
          <t>-</t>
        </is>
      </c>
      <c r="J16" s="6" t="inlineStr">
        <is>
          <t>HW-9</t>
        </is>
      </c>
      <c r="K16" s="6" t="inlineStr">
        <is>
          <t>TO MECH./ELEC. 112</t>
        </is>
      </c>
    </row>
    <row r="17">
      <c r="A17" s="6" t="inlineStr">
        <is>
          <t>111</t>
        </is>
      </c>
      <c r="B17" s="6" t="inlineStr">
        <is>
          <t>L1</t>
        </is>
      </c>
      <c r="C17" s="6" t="inlineStr">
        <is>
          <t>111</t>
        </is>
      </c>
      <c r="D17" s="6" t="inlineStr">
        <is>
          <t>3'-0" x 7'-0"</t>
        </is>
      </c>
      <c r="E17" s="6" t="inlineStr">
        <is>
          <t>A</t>
        </is>
      </c>
      <c r="F17" s="6" t="inlineStr">
        <is>
          <t>WD</t>
        </is>
      </c>
      <c r="G17" s="6" t="inlineStr">
        <is>
          <t>F1</t>
        </is>
      </c>
      <c r="H17" s="6" t="inlineStr">
        <is>
          <t>HM</t>
        </is>
      </c>
      <c r="I17" s="6" t="inlineStr">
        <is>
          <t>-</t>
        </is>
      </c>
      <c r="J17" s="6" t="inlineStr">
        <is>
          <t>HW-2</t>
        </is>
      </c>
      <c r="K17" s="6" t="inlineStr"/>
    </row>
    <row r="18">
      <c r="A18" s="6" t="inlineStr">
        <is>
          <t>ST1-A</t>
        </is>
      </c>
      <c r="B18" s="6" t="inlineStr">
        <is>
          <t>L1</t>
        </is>
      </c>
      <c r="C18" s="6" t="inlineStr">
        <is>
          <t>ST-1</t>
        </is>
      </c>
      <c r="D18" s="6" t="inlineStr">
        <is>
          <t>3'-0" x 7'-0"</t>
        </is>
      </c>
      <c r="E18" s="6" t="inlineStr">
        <is>
          <t>D</t>
        </is>
      </c>
      <c r="F18" s="6" t="inlineStr">
        <is>
          <t>HM</t>
        </is>
      </c>
      <c r="G18" s="6" t="inlineStr">
        <is>
          <t>F1</t>
        </is>
      </c>
      <c r="H18" s="6" t="inlineStr">
        <is>
          <t>HM</t>
        </is>
      </c>
      <c r="I18" s="6" t="inlineStr">
        <is>
          <t>60 MIN</t>
        </is>
      </c>
      <c r="J18" s="6" t="inlineStr">
        <is>
          <t>HW-4</t>
        </is>
      </c>
      <c r="K18" s="6" t="inlineStr"/>
    </row>
    <row r="19">
      <c r="A19" s="6" t="inlineStr">
        <is>
          <t>ST2-A</t>
        </is>
      </c>
      <c r="B19" s="6" t="inlineStr">
        <is>
          <t>L1</t>
        </is>
      </c>
      <c r="C19" s="6" t="inlineStr">
        <is>
          <t>ST-2</t>
        </is>
      </c>
      <c r="D19" s="6" t="inlineStr">
        <is>
          <t>3'-0" x 7'-0"</t>
        </is>
      </c>
      <c r="E19" s="6" t="inlineStr">
        <is>
          <t>D</t>
        </is>
      </c>
      <c r="F19" s="6" t="inlineStr">
        <is>
          <t>HM</t>
        </is>
      </c>
      <c r="G19" s="6" t="inlineStr">
        <is>
          <t>F1</t>
        </is>
      </c>
      <c r="H19" s="6" t="inlineStr">
        <is>
          <t>HM</t>
        </is>
      </c>
      <c r="I19" s="6" t="inlineStr">
        <is>
          <t>60 MIN</t>
        </is>
      </c>
      <c r="J19" s="6" t="inlineStr">
        <is>
          <t>HW-4</t>
        </is>
      </c>
      <c r="K19" s="6" t="inlineStr"/>
    </row>
    <row r="20">
      <c r="A20" s="6" t="inlineStr">
        <is>
          <t>201</t>
        </is>
      </c>
      <c r="B20" s="6" t="inlineStr">
        <is>
          <t>L2</t>
        </is>
      </c>
      <c r="C20" s="6" t="inlineStr">
        <is>
          <t>201</t>
        </is>
      </c>
      <c r="D20" s="6" t="inlineStr">
        <is>
          <t>3'-0" x 7'-0"</t>
        </is>
      </c>
      <c r="E20" s="6" t="inlineStr">
        <is>
          <t>B</t>
        </is>
      </c>
      <c r="F20" s="6" t="inlineStr">
        <is>
          <t>WD</t>
        </is>
      </c>
      <c r="G20" s="6" t="inlineStr">
        <is>
          <t>F2</t>
        </is>
      </c>
      <c r="H20" s="6" t="inlineStr">
        <is>
          <t>HM</t>
        </is>
      </c>
      <c r="I20" s="6" t="inlineStr">
        <is>
          <t>-</t>
        </is>
      </c>
      <c r="J20" s="6" t="inlineStr">
        <is>
          <t>HW-1</t>
        </is>
      </c>
      <c r="K20" s="6" t="inlineStr"/>
    </row>
    <row r="21">
      <c r="A21" s="6" t="inlineStr">
        <is>
          <t>202</t>
        </is>
      </c>
      <c r="B21" s="6" t="inlineStr">
        <is>
          <t>L2</t>
        </is>
      </c>
      <c r="C21" s="6" t="inlineStr">
        <is>
          <t>202</t>
        </is>
      </c>
      <c r="D21" s="6" t="inlineStr">
        <is>
          <t>3'-0" x 7'-0"</t>
        </is>
      </c>
      <c r="E21" s="6" t="inlineStr">
        <is>
          <t>B</t>
        </is>
      </c>
      <c r="F21" s="6" t="inlineStr">
        <is>
          <t>WD</t>
        </is>
      </c>
      <c r="G21" s="6" t="inlineStr">
        <is>
          <t>F2</t>
        </is>
      </c>
      <c r="H21" s="6" t="inlineStr">
        <is>
          <t>HM</t>
        </is>
      </c>
      <c r="I21" s="6" t="inlineStr">
        <is>
          <t>-</t>
        </is>
      </c>
      <c r="J21" s="6" t="inlineStr">
        <is>
          <t>HW-1</t>
        </is>
      </c>
      <c r="K21" s="6" t="inlineStr"/>
    </row>
    <row r="22">
      <c r="A22" s="6" t="inlineStr">
        <is>
          <t>203</t>
        </is>
      </c>
      <c r="B22" s="6" t="inlineStr">
        <is>
          <t>L2</t>
        </is>
      </c>
      <c r="C22" s="6" t="inlineStr">
        <is>
          <t>203</t>
        </is>
      </c>
      <c r="D22" s="6" t="inlineStr">
        <is>
          <t>3'-0" x 7'-0"</t>
        </is>
      </c>
      <c r="E22" s="6" t="inlineStr">
        <is>
          <t>B</t>
        </is>
      </c>
      <c r="F22" s="6" t="inlineStr">
        <is>
          <t>WD</t>
        </is>
      </c>
      <c r="G22" s="6" t="inlineStr">
        <is>
          <t>F2</t>
        </is>
      </c>
      <c r="H22" s="6" t="inlineStr">
        <is>
          <t>HM</t>
        </is>
      </c>
      <c r="I22" s="6" t="inlineStr">
        <is>
          <t>-</t>
        </is>
      </c>
      <c r="J22" s="6" t="inlineStr">
        <is>
          <t>HW-1</t>
        </is>
      </c>
      <c r="K22" s="6" t="inlineStr"/>
    </row>
    <row r="23">
      <c r="A23" s="6" t="inlineStr">
        <is>
          <t>204</t>
        </is>
      </c>
      <c r="B23" s="6" t="inlineStr">
        <is>
          <t>L2</t>
        </is>
      </c>
      <c r="C23" s="6" t="inlineStr">
        <is>
          <t>204</t>
        </is>
      </c>
      <c r="D23" s="6" t="inlineStr">
        <is>
          <t>3'-0" x 7'-0"</t>
        </is>
      </c>
      <c r="E23" s="6" t="inlineStr">
        <is>
          <t>B</t>
        </is>
      </c>
      <c r="F23" s="6" t="inlineStr">
        <is>
          <t>WD</t>
        </is>
      </c>
      <c r="G23" s="6" t="inlineStr">
        <is>
          <t>F2</t>
        </is>
      </c>
      <c r="H23" s="6" t="inlineStr">
        <is>
          <t>HM</t>
        </is>
      </c>
      <c r="I23" s="6" t="inlineStr">
        <is>
          <t>-</t>
        </is>
      </c>
      <c r="J23" s="6" t="inlineStr">
        <is>
          <t>HW-1</t>
        </is>
      </c>
      <c r="K23" s="6" t="inlineStr"/>
    </row>
    <row r="24">
      <c r="A24" s="6" t="inlineStr">
        <is>
          <t>213</t>
        </is>
      </c>
      <c r="B24" s="6" t="inlineStr">
        <is>
          <t>L2</t>
        </is>
      </c>
      <c r="C24" s="6" t="inlineStr">
        <is>
          <t>213</t>
        </is>
      </c>
      <c r="D24" s="6" t="inlineStr">
        <is>
          <t>3'-0" x 7'-0"</t>
        </is>
      </c>
      <c r="E24" s="6" t="inlineStr">
        <is>
          <t>B</t>
        </is>
      </c>
      <c r="F24" s="6" t="inlineStr">
        <is>
          <t>WD</t>
        </is>
      </c>
      <c r="G24" s="6" t="inlineStr">
        <is>
          <t>F2</t>
        </is>
      </c>
      <c r="H24" s="6" t="inlineStr">
        <is>
          <t>HM</t>
        </is>
      </c>
      <c r="I24" s="6" t="inlineStr">
        <is>
          <t>-</t>
        </is>
      </c>
      <c r="J24" s="6" t="inlineStr">
        <is>
          <t>HW-1</t>
        </is>
      </c>
      <c r="K24" s="6" t="inlineStr"/>
    </row>
    <row r="25">
      <c r="A25" s="6" t="inlineStr">
        <is>
          <t>214</t>
        </is>
      </c>
      <c r="B25" s="6" t="inlineStr">
        <is>
          <t>L2</t>
        </is>
      </c>
      <c r="C25" s="6" t="inlineStr">
        <is>
          <t>214</t>
        </is>
      </c>
      <c r="D25" s="6" t="inlineStr">
        <is>
          <t>3'-0" x 7'-0"</t>
        </is>
      </c>
      <c r="E25" s="6" t="inlineStr">
        <is>
          <t>B</t>
        </is>
      </c>
      <c r="F25" s="6" t="inlineStr">
        <is>
          <t>WD</t>
        </is>
      </c>
      <c r="G25" s="6" t="inlineStr">
        <is>
          <t>F2</t>
        </is>
      </c>
      <c r="H25" s="6" t="inlineStr">
        <is>
          <t>HM</t>
        </is>
      </c>
      <c r="I25" s="6" t="inlineStr">
        <is>
          <t>-</t>
        </is>
      </c>
      <c r="J25" s="6" t="inlineStr">
        <is>
          <t>HW-1</t>
        </is>
      </c>
      <c r="K25" s="6" t="inlineStr"/>
    </row>
    <row r="26">
      <c r="A26" s="6" t="inlineStr">
        <is>
          <t>215</t>
        </is>
      </c>
      <c r="B26" s="6" t="inlineStr">
        <is>
          <t>L2</t>
        </is>
      </c>
      <c r="C26" s="6" t="inlineStr">
        <is>
          <t>215</t>
        </is>
      </c>
      <c r="D26" s="6" t="inlineStr">
        <is>
          <t>3'-0" x 7'-0"</t>
        </is>
      </c>
      <c r="E26" s="6" t="inlineStr">
        <is>
          <t>B</t>
        </is>
      </c>
      <c r="F26" s="6" t="inlineStr">
        <is>
          <t>WD</t>
        </is>
      </c>
      <c r="G26" s="6" t="inlineStr">
        <is>
          <t>F2</t>
        </is>
      </c>
      <c r="H26" s="6" t="inlineStr">
        <is>
          <t>HM</t>
        </is>
      </c>
      <c r="I26" s="6" t="inlineStr">
        <is>
          <t>-</t>
        </is>
      </c>
      <c r="J26" s="6" t="inlineStr">
        <is>
          <t>HW-1</t>
        </is>
      </c>
      <c r="K26" s="6" t="inlineStr"/>
    </row>
    <row r="27">
      <c r="A27" s="6" t="inlineStr">
        <is>
          <t>205</t>
        </is>
      </c>
      <c r="B27" s="6" t="inlineStr">
        <is>
          <t>L2</t>
        </is>
      </c>
      <c r="C27" s="6" t="inlineStr">
        <is>
          <t>205</t>
        </is>
      </c>
      <c r="D27" s="6" t="inlineStr">
        <is>
          <t>3'-0" x 7'-0"</t>
        </is>
      </c>
      <c r="E27" s="6" t="inlineStr">
        <is>
          <t>B</t>
        </is>
      </c>
      <c r="F27" s="6" t="inlineStr">
        <is>
          <t>WD</t>
        </is>
      </c>
      <c r="G27" s="6" t="inlineStr">
        <is>
          <t>F1</t>
        </is>
      </c>
      <c r="H27" s="6" t="inlineStr">
        <is>
          <t>HM</t>
        </is>
      </c>
      <c r="I27" s="6" t="inlineStr">
        <is>
          <t>-</t>
        </is>
      </c>
      <c r="J27" s="6" t="inlineStr">
        <is>
          <t>HW-1</t>
        </is>
      </c>
      <c r="K27" s="6" t="inlineStr"/>
    </row>
    <row r="28">
      <c r="A28" s="6" t="inlineStr">
        <is>
          <t>206</t>
        </is>
      </c>
      <c r="B28" s="6" t="inlineStr">
        <is>
          <t>L2</t>
        </is>
      </c>
      <c r="C28" s="6" t="inlineStr">
        <is>
          <t>206</t>
        </is>
      </c>
      <c r="D28" s="6" t="inlineStr">
        <is>
          <t>3'-0" x 7'-0"</t>
        </is>
      </c>
      <c r="E28" s="6" t="inlineStr">
        <is>
          <t>A</t>
        </is>
      </c>
      <c r="F28" s="6" t="inlineStr">
        <is>
          <t>WD</t>
        </is>
      </c>
      <c r="G28" s="6" t="inlineStr">
        <is>
          <t>F1</t>
        </is>
      </c>
      <c r="H28" s="6" t="inlineStr">
        <is>
          <t>HM</t>
        </is>
      </c>
      <c r="I28" s="6" t="inlineStr">
        <is>
          <t>-</t>
        </is>
      </c>
      <c r="J28" s="6" t="inlineStr">
        <is>
          <t>HW-10</t>
        </is>
      </c>
      <c r="K28" s="6" t="inlineStr"/>
    </row>
    <row r="29">
      <c r="A29" s="6" t="inlineStr">
        <is>
          <t>207</t>
        </is>
      </c>
      <c r="B29" s="6" t="inlineStr">
        <is>
          <t>L2</t>
        </is>
      </c>
      <c r="C29" s="6" t="inlineStr">
        <is>
          <t>207</t>
        </is>
      </c>
      <c r="D29" s="6" t="inlineStr">
        <is>
          <t>3'-0" x 7'-0"</t>
        </is>
      </c>
      <c r="E29" s="6" t="inlineStr">
        <is>
          <t>A</t>
        </is>
      </c>
      <c r="F29" s="6" t="inlineStr">
        <is>
          <t>WD</t>
        </is>
      </c>
      <c r="G29" s="6" t="inlineStr">
        <is>
          <t>F1</t>
        </is>
      </c>
      <c r="H29" s="6" t="inlineStr">
        <is>
          <t>HM</t>
        </is>
      </c>
      <c r="I29" s="6" t="inlineStr">
        <is>
          <t>-</t>
        </is>
      </c>
      <c r="J29" s="6" t="inlineStr">
        <is>
          <t>HW-3</t>
        </is>
      </c>
      <c r="K29" s="6" t="inlineStr"/>
    </row>
    <row r="30">
      <c r="A30" s="6" t="inlineStr">
        <is>
          <t>209</t>
        </is>
      </c>
      <c r="B30" s="6" t="inlineStr">
        <is>
          <t>L2</t>
        </is>
      </c>
      <c r="C30" s="6" t="inlineStr">
        <is>
          <t>209</t>
        </is>
      </c>
      <c r="D30" s="6" t="inlineStr">
        <is>
          <t>3'-0" x 7'-0"</t>
        </is>
      </c>
      <c r="E30" s="6" t="inlineStr">
        <is>
          <t>A</t>
        </is>
      </c>
      <c r="F30" s="6" t="inlineStr">
        <is>
          <t>WD</t>
        </is>
      </c>
      <c r="G30" s="6" t="inlineStr">
        <is>
          <t>F1</t>
        </is>
      </c>
      <c r="H30" s="6" t="inlineStr">
        <is>
          <t>HM</t>
        </is>
      </c>
      <c r="I30" s="6" t="inlineStr">
        <is>
          <t>-</t>
        </is>
      </c>
      <c r="J30" s="6" t="inlineStr">
        <is>
          <t>HW-2</t>
        </is>
      </c>
      <c r="K30" s="6" t="inlineStr"/>
    </row>
    <row r="31">
      <c r="A31" s="6" t="inlineStr">
        <is>
          <t>210</t>
        </is>
      </c>
      <c r="B31" s="6" t="inlineStr">
        <is>
          <t>L2</t>
        </is>
      </c>
      <c r="C31" s="6" t="inlineStr">
        <is>
          <t>210</t>
        </is>
      </c>
      <c r="D31" s="6" t="inlineStr">
        <is>
          <t>3'-0" x 7'-0"</t>
        </is>
      </c>
      <c r="E31" s="6" t="inlineStr">
        <is>
          <t>A</t>
        </is>
      </c>
      <c r="F31" s="6" t="inlineStr">
        <is>
          <t>WD</t>
        </is>
      </c>
      <c r="G31" s="6" t="inlineStr">
        <is>
          <t>F1</t>
        </is>
      </c>
      <c r="H31" s="6" t="inlineStr">
        <is>
          <t>HM</t>
        </is>
      </c>
      <c r="I31" s="6" t="inlineStr">
        <is>
          <t>-</t>
        </is>
      </c>
      <c r="J31" s="6" t="inlineStr">
        <is>
          <t>HW-9</t>
        </is>
      </c>
      <c r="K31" s="6" t="inlineStr"/>
    </row>
    <row r="32">
      <c r="A32" s="6" t="inlineStr">
        <is>
          <t>210B</t>
        </is>
      </c>
      <c r="B32" s="6" t="inlineStr">
        <is>
          <t>L2</t>
        </is>
      </c>
      <c r="C32" s="6" t="inlineStr">
        <is>
          <t>212</t>
        </is>
      </c>
      <c r="D32" s="6" t="inlineStr">
        <is>
          <t>3'-0" x 7'-0"</t>
        </is>
      </c>
      <c r="E32" s="6" t="inlineStr">
        <is>
          <t>A</t>
        </is>
      </c>
      <c r="F32" s="6" t="inlineStr">
        <is>
          <t>WD</t>
        </is>
      </c>
      <c r="G32" s="6" t="inlineStr">
        <is>
          <t>F1</t>
        </is>
      </c>
      <c r="H32" s="6" t="inlineStr">
        <is>
          <t>HM</t>
        </is>
      </c>
      <c r="I32" s="6" t="inlineStr">
        <is>
          <t>-</t>
        </is>
      </c>
      <c r="J32" s="6" t="inlineStr">
        <is>
          <t>HW-9</t>
        </is>
      </c>
      <c r="K32" s="6" t="inlineStr">
        <is>
          <t>TO STORAGE / IDF 212</t>
        </is>
      </c>
    </row>
    <row r="33">
      <c r="A33" s="6" t="inlineStr">
        <is>
          <t>211</t>
        </is>
      </c>
      <c r="B33" s="6" t="inlineStr">
        <is>
          <t>L2</t>
        </is>
      </c>
      <c r="C33" s="6" t="inlineStr">
        <is>
          <t>211</t>
        </is>
      </c>
      <c r="D33" s="6" t="inlineStr">
        <is>
          <t>3'-0" x 7'-0"</t>
        </is>
      </c>
      <c r="E33" s="6" t="inlineStr">
        <is>
          <t>A</t>
        </is>
      </c>
      <c r="F33" s="6" t="inlineStr">
        <is>
          <t>WD</t>
        </is>
      </c>
      <c r="G33" s="6" t="inlineStr">
        <is>
          <t>F1</t>
        </is>
      </c>
      <c r="H33" s="6" t="inlineStr">
        <is>
          <t>HM</t>
        </is>
      </c>
      <c r="I33" s="6" t="inlineStr">
        <is>
          <t>-</t>
        </is>
      </c>
      <c r="J33" s="6" t="inlineStr">
        <is>
          <t>HW-2</t>
        </is>
      </c>
      <c r="K33" s="6" t="inlineStr"/>
    </row>
    <row r="34">
      <c r="A34" s="6" t="inlineStr">
        <is>
          <t>ST1-C</t>
        </is>
      </c>
      <c r="B34" s="6" t="inlineStr">
        <is>
          <t>L2</t>
        </is>
      </c>
      <c r="C34" s="6" t="inlineStr">
        <is>
          <t>ST-1</t>
        </is>
      </c>
      <c r="D34" s="6" t="inlineStr">
        <is>
          <t>3'-0" x 7'-0"</t>
        </is>
      </c>
      <c r="E34" s="6" t="inlineStr">
        <is>
          <t>D</t>
        </is>
      </c>
      <c r="F34" s="6" t="inlineStr">
        <is>
          <t>HM</t>
        </is>
      </c>
      <c r="G34" s="6" t="inlineStr">
        <is>
          <t>F1</t>
        </is>
      </c>
      <c r="H34" s="6" t="inlineStr">
        <is>
          <t>HM</t>
        </is>
      </c>
      <c r="I34" s="6" t="inlineStr">
        <is>
          <t>60 MIN</t>
        </is>
      </c>
      <c r="J34" s="6" t="inlineStr">
        <is>
          <t>HW-4</t>
        </is>
      </c>
      <c r="K34" s="6" t="inlineStr"/>
    </row>
    <row r="35">
      <c r="A35" s="6" t="inlineStr">
        <is>
          <t>ST2-C</t>
        </is>
      </c>
      <c r="B35" s="6" t="inlineStr">
        <is>
          <t>L2</t>
        </is>
      </c>
      <c r="C35" s="6" t="inlineStr">
        <is>
          <t>ST-2</t>
        </is>
      </c>
      <c r="D35" s="6" t="inlineStr">
        <is>
          <t>3'-0" x 7'-0"</t>
        </is>
      </c>
      <c r="E35" s="6" t="inlineStr">
        <is>
          <t>D</t>
        </is>
      </c>
      <c r="F35" s="6" t="inlineStr">
        <is>
          <t>HM</t>
        </is>
      </c>
      <c r="G35" s="6" t="inlineStr">
        <is>
          <t>F1</t>
        </is>
      </c>
      <c r="H35" s="6" t="inlineStr">
        <is>
          <t>HM</t>
        </is>
      </c>
      <c r="I35" s="6" t="inlineStr">
        <is>
          <t>60 MIN</t>
        </is>
      </c>
      <c r="J35" s="6" t="inlineStr">
        <is>
          <t>HW-4</t>
        </is>
      </c>
      <c r="K35" s="6" t="inlineStr"/>
    </row>
    <row r="36">
      <c r="A36" s="6" t="inlineStr">
        <is>
          <t>ST1-B</t>
        </is>
      </c>
      <c r="B36" s="6" t="inlineStr">
        <is>
          <t>L1</t>
        </is>
      </c>
      <c r="C36" s="6" t="inlineStr">
        <is>
          <t>ST-1</t>
        </is>
      </c>
      <c r="D36" s="6" t="inlineStr">
        <is>
          <t>3'-0" x 7'-0"</t>
        </is>
      </c>
      <c r="E36" s="6" t="inlineStr">
        <is>
          <t>C</t>
        </is>
      </c>
      <c r="F36" s="6" t="inlineStr">
        <is>
          <t>HM</t>
        </is>
      </c>
      <c r="G36" s="6" t="inlineStr">
        <is>
          <t>F1</t>
        </is>
      </c>
      <c r="H36" s="6" t="inlineStr">
        <is>
          <t>HM</t>
        </is>
      </c>
      <c r="I36" s="6" t="inlineStr">
        <is>
          <t>-</t>
        </is>
      </c>
      <c r="J36" s="6" t="inlineStr">
        <is>
          <t>HW-5</t>
        </is>
      </c>
      <c r="K36" s="6" t="inlineStr">
        <is>
          <t>EXTERIOR EXIT</t>
        </is>
      </c>
    </row>
    <row r="37">
      <c r="A37" s="6" t="inlineStr">
        <is>
          <t>ST2-B</t>
        </is>
      </c>
      <c r="B37" s="6" t="inlineStr">
        <is>
          <t>L1</t>
        </is>
      </c>
      <c r="C37" s="6" t="inlineStr">
        <is>
          <t>ST-2</t>
        </is>
      </c>
      <c r="D37" s="6" t="inlineStr">
        <is>
          <t>3'-0" x 7'-0"</t>
        </is>
      </c>
      <c r="E37" s="6" t="inlineStr">
        <is>
          <t>C</t>
        </is>
      </c>
      <c r="F37" s="6" t="inlineStr">
        <is>
          <t>HM</t>
        </is>
      </c>
      <c r="G37" s="6" t="inlineStr">
        <is>
          <t>F1</t>
        </is>
      </c>
      <c r="H37" s="6" t="inlineStr">
        <is>
          <t>HM</t>
        </is>
      </c>
      <c r="I37" s="6" t="inlineStr">
        <is>
          <t>-</t>
        </is>
      </c>
      <c r="J37" s="6" t="inlineStr">
        <is>
          <t>HW-5</t>
        </is>
      </c>
      <c r="K37" s="6" t="inlineStr">
        <is>
          <t>EXTERIOR EXIT</t>
        </is>
      </c>
    </row>
    <row r="38">
      <c r="A38" s="6" t="inlineStr">
        <is>
          <t>112</t>
        </is>
      </c>
      <c r="B38" s="6" t="inlineStr">
        <is>
          <t>L1</t>
        </is>
      </c>
      <c r="C38" s="6" t="inlineStr">
        <is>
          <t>112</t>
        </is>
      </c>
      <c r="D38" s="6" t="inlineStr">
        <is>
          <t>PR 3'-0" x 7'-0"</t>
        </is>
      </c>
      <c r="E38" s="6" t="inlineStr">
        <is>
          <t>C</t>
        </is>
      </c>
      <c r="F38" s="6" t="inlineStr">
        <is>
          <t>HM</t>
        </is>
      </c>
      <c r="G38" s="6" t="inlineStr">
        <is>
          <t>F3</t>
        </is>
      </c>
      <c r="H38" s="6" t="inlineStr">
        <is>
          <t>HM</t>
        </is>
      </c>
      <c r="I38" s="6" t="inlineStr">
        <is>
          <t>-</t>
        </is>
      </c>
      <c r="J38" s="6" t="inlineStr">
        <is>
          <t>HW-6</t>
        </is>
      </c>
      <c r="K38" s="6" t="inlineStr">
        <is>
          <t>EXTERIOR, REMOVABLE MULLION</t>
        </is>
      </c>
    </row>
    <row r="39">
      <c r="A39" s="6" t="inlineStr">
        <is>
          <t>100A</t>
        </is>
      </c>
      <c r="B39" s="6" t="inlineStr">
        <is>
          <t>L1</t>
        </is>
      </c>
      <c r="C39" s="6" t="inlineStr">
        <is>
          <t>100A</t>
        </is>
      </c>
      <c r="D39" s="6" t="inlineStr">
        <is>
          <t>PR 3'-0" x 7'-0"</t>
        </is>
      </c>
      <c r="E39" s="6" t="inlineStr">
        <is>
          <t>B</t>
        </is>
      </c>
      <c r="F39" s="6" t="inlineStr">
        <is>
          <t>WD</t>
        </is>
      </c>
      <c r="G39" s="6" t="inlineStr">
        <is>
          <t>F3</t>
        </is>
      </c>
      <c r="H39" s="6" t="inlineStr">
        <is>
          <t>HM</t>
        </is>
      </c>
      <c r="I39" s="6" t="inlineStr">
        <is>
          <t>-</t>
        </is>
      </c>
      <c r="J39" s="6" t="inlineStr">
        <is>
          <t>HW-8</t>
        </is>
      </c>
      <c r="K39" s="6" t="inlineStr">
        <is>
          <t>CROSS-CORRIDOR PAIR ON MAG. HOLD-OPENS (DIV. 26)</t>
        </is>
      </c>
    </row>
    <row r="40">
      <c r="A40" s="6" t="inlineStr">
        <is>
          <t>100B</t>
        </is>
      </c>
      <c r="B40" s="6" t="inlineStr">
        <is>
          <t>L1</t>
        </is>
      </c>
      <c r="C40" s="6" t="inlineStr">
        <is>
          <t>100</t>
        </is>
      </c>
      <c r="D40" s="6" t="inlineStr">
        <is>
          <t>PR 3'-0" x 7'-0"</t>
        </is>
      </c>
      <c r="E40" s="6" t="inlineStr">
        <is>
          <t>E</t>
        </is>
      </c>
      <c r="F40" s="6" t="inlineStr">
        <is>
          <t>AL</t>
        </is>
      </c>
      <c r="G40" s="6" t="inlineStr">
        <is>
          <t>SF</t>
        </is>
      </c>
      <c r="H40" s="6" t="inlineStr">
        <is>
          <t>AL</t>
        </is>
      </c>
      <c r="I40" s="6" t="inlineStr">
        <is>
          <t>-</t>
        </is>
      </c>
      <c r="J40" s="6" t="inlineStr">
        <is>
          <t>HW-7</t>
        </is>
      </c>
      <c r="K40" s="6" t="inlineStr">
        <is>
          <t>IN STOREFRONT SF-1; CARD READER PREP</t>
        </is>
      </c>
    </row>
    <row r="42">
      <c r="A42" s="4" t="inlineStr">
        <is>
          <t>SUMMARY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inlineStr">
        <is>
          <t>DOOR TYPE</t>
        </is>
      </c>
      <c r="B43" s="6" t="inlineStr"/>
      <c r="C43" s="6" t="inlineStr"/>
      <c r="D43" s="6" t="inlineStr">
        <is>
          <t>A</t>
        </is>
      </c>
      <c r="E43" s="6" t="n">
        <v>12</v>
      </c>
    </row>
    <row r="44">
      <c r="A44" s="6" t="inlineStr">
        <is>
          <t>DOOR TYPE</t>
        </is>
      </c>
      <c r="B44" s="6" t="inlineStr"/>
      <c r="C44" s="6" t="inlineStr"/>
      <c r="D44" s="6" t="inlineStr">
        <is>
          <t>B</t>
        </is>
      </c>
      <c r="E44" s="6" t="n">
        <v>17</v>
      </c>
    </row>
    <row r="45">
      <c r="A45" s="6" t="inlineStr">
        <is>
          <t>DOOR TYPE</t>
        </is>
      </c>
      <c r="B45" s="6" t="inlineStr"/>
      <c r="C45" s="6" t="inlineStr"/>
      <c r="D45" s="6" t="inlineStr">
        <is>
          <t>C</t>
        </is>
      </c>
      <c r="E45" s="6" t="n">
        <v>3</v>
      </c>
    </row>
    <row r="46">
      <c r="A46" s="6" t="inlineStr">
        <is>
          <t>DOOR TYPE</t>
        </is>
      </c>
      <c r="B46" s="6" t="inlineStr"/>
      <c r="C46" s="6" t="inlineStr"/>
      <c r="D46" s="6" t="inlineStr">
        <is>
          <t>D</t>
        </is>
      </c>
      <c r="E46" s="6" t="n">
        <v>4</v>
      </c>
    </row>
    <row r="47">
      <c r="A47" s="6" t="inlineStr">
        <is>
          <t>DOOR TYPE</t>
        </is>
      </c>
      <c r="B47" s="6" t="inlineStr"/>
      <c r="C47" s="6" t="inlineStr"/>
      <c r="D47" s="6" t="inlineStr">
        <is>
          <t>E</t>
        </is>
      </c>
      <c r="E47" s="6" t="n">
        <v>1</v>
      </c>
    </row>
    <row r="48">
      <c r="A48" s="6" t="inlineStr">
        <is>
          <t>FRAME TYPE</t>
        </is>
      </c>
      <c r="B48" s="6" t="inlineStr"/>
      <c r="C48" s="6" t="inlineStr"/>
      <c r="D48" s="6" t="inlineStr">
        <is>
          <t>F1</t>
        </is>
      </c>
      <c r="E48" s="6" t="n">
        <v>20</v>
      </c>
    </row>
    <row r="49">
      <c r="A49" s="6" t="inlineStr">
        <is>
          <t>FRAME TYPE</t>
        </is>
      </c>
      <c r="B49" s="6" t="inlineStr"/>
      <c r="C49" s="6" t="inlineStr"/>
      <c r="D49" s="6" t="inlineStr">
        <is>
          <t>F2</t>
        </is>
      </c>
      <c r="E49" s="6" t="n">
        <v>14</v>
      </c>
    </row>
    <row r="50">
      <c r="A50" s="6" t="inlineStr">
        <is>
          <t>FRAME TYPE</t>
        </is>
      </c>
      <c r="B50" s="6" t="inlineStr"/>
      <c r="C50" s="6" t="inlineStr"/>
      <c r="D50" s="6" t="inlineStr">
        <is>
          <t>F3</t>
        </is>
      </c>
      <c r="E50" s="6" t="n">
        <v>2</v>
      </c>
    </row>
    <row r="51">
      <c r="A51" s="6" t="inlineStr">
        <is>
          <t>FRAME TYPE</t>
        </is>
      </c>
      <c r="B51" s="6" t="inlineStr"/>
      <c r="C51" s="6" t="inlineStr"/>
      <c r="D51" s="6" t="inlineStr">
        <is>
          <t>SF</t>
        </is>
      </c>
      <c r="E51" s="6" t="n">
        <v>1</v>
      </c>
    </row>
    <row r="52">
      <c r="A52" s="6" t="inlineStr">
        <is>
          <t>HW SET</t>
        </is>
      </c>
      <c r="B52" s="6" t="inlineStr"/>
      <c r="C52" s="6" t="inlineStr"/>
      <c r="D52" s="6" t="inlineStr">
        <is>
          <t>HW-1</t>
        </is>
      </c>
      <c r="E52" s="6" t="n">
        <v>16</v>
      </c>
    </row>
    <row r="53">
      <c r="A53" s="6" t="inlineStr">
        <is>
          <t>HW SET</t>
        </is>
      </c>
      <c r="B53" s="6" t="inlineStr"/>
      <c r="C53" s="6" t="inlineStr"/>
      <c r="D53" s="6" t="inlineStr">
        <is>
          <t>HW-10</t>
        </is>
      </c>
      <c r="E53" s="6" t="n">
        <v>2</v>
      </c>
    </row>
    <row r="54">
      <c r="A54" s="6" t="inlineStr">
        <is>
          <t>HW SET</t>
        </is>
      </c>
      <c r="B54" s="6" t="inlineStr"/>
      <c r="C54" s="6" t="inlineStr"/>
      <c r="D54" s="6" t="inlineStr">
        <is>
          <t>HW-2</t>
        </is>
      </c>
      <c r="E54" s="6" t="n">
        <v>4</v>
      </c>
    </row>
    <row r="55">
      <c r="A55" s="6" t="inlineStr">
        <is>
          <t>HW SET</t>
        </is>
      </c>
      <c r="B55" s="6" t="inlineStr"/>
      <c r="C55" s="6" t="inlineStr"/>
      <c r="D55" s="6" t="inlineStr">
        <is>
          <t>HW-3</t>
        </is>
      </c>
      <c r="E55" s="6" t="n">
        <v>2</v>
      </c>
    </row>
    <row r="56">
      <c r="A56" s="6" t="inlineStr">
        <is>
          <t>HW SET</t>
        </is>
      </c>
      <c r="B56" s="6" t="inlineStr"/>
      <c r="C56" s="6" t="inlineStr"/>
      <c r="D56" s="6" t="inlineStr">
        <is>
          <t>HW-4</t>
        </is>
      </c>
      <c r="E56" s="6" t="n">
        <v>4</v>
      </c>
    </row>
    <row r="57">
      <c r="A57" s="6" t="inlineStr">
        <is>
          <t>HW SET</t>
        </is>
      </c>
      <c r="B57" s="6" t="inlineStr"/>
      <c r="C57" s="6" t="inlineStr"/>
      <c r="D57" s="6" t="inlineStr">
        <is>
          <t>HW-5</t>
        </is>
      </c>
      <c r="E57" s="6" t="n">
        <v>2</v>
      </c>
    </row>
    <row r="58">
      <c r="A58" s="6" t="inlineStr">
        <is>
          <t>HW SET</t>
        </is>
      </c>
      <c r="B58" s="6" t="inlineStr"/>
      <c r="C58" s="6" t="inlineStr"/>
      <c r="D58" s="6" t="inlineStr">
        <is>
          <t>HW-6</t>
        </is>
      </c>
      <c r="E58" s="6" t="n">
        <v>1</v>
      </c>
    </row>
    <row r="59">
      <c r="A59" s="6" t="inlineStr">
        <is>
          <t>HW SET</t>
        </is>
      </c>
      <c r="B59" s="6" t="inlineStr"/>
      <c r="C59" s="6" t="inlineStr"/>
      <c r="D59" s="6" t="inlineStr">
        <is>
          <t>HW-7</t>
        </is>
      </c>
      <c r="E59" s="6" t="n">
        <v>1</v>
      </c>
    </row>
    <row r="60">
      <c r="A60" s="6" t="inlineStr">
        <is>
          <t>HW SET</t>
        </is>
      </c>
      <c r="B60" s="6" t="inlineStr"/>
      <c r="C60" s="6" t="inlineStr"/>
      <c r="D60" s="6" t="inlineStr">
        <is>
          <t>HW-8</t>
        </is>
      </c>
      <c r="E60" s="6" t="n">
        <v>1</v>
      </c>
    </row>
    <row r="61">
      <c r="A61" s="6" t="inlineStr">
        <is>
          <t>HW SET</t>
        </is>
      </c>
      <c r="B61" s="6" t="inlineStr"/>
      <c r="C61" s="6" t="inlineStr"/>
      <c r="D61" s="6" t="inlineStr">
        <is>
          <t>HW-9</t>
        </is>
      </c>
      <c r="E61" s="6" t="n">
        <v>4</v>
      </c>
    </row>
    <row r="62">
      <c r="A62" s="6" t="inlineStr">
        <is>
          <t>RATING</t>
        </is>
      </c>
      <c r="B62" s="6" t="inlineStr"/>
      <c r="C62" s="6" t="inlineStr"/>
      <c r="D62" s="6" t="inlineStr">
        <is>
          <t>60 MIN</t>
        </is>
      </c>
      <c r="E62" s="6" t="n">
        <v>4</v>
      </c>
    </row>
    <row r="63">
      <c r="A63" s="6" t="inlineStr">
        <is>
          <t>RATING</t>
        </is>
      </c>
      <c r="B63" s="6" t="inlineStr"/>
      <c r="C63" s="6" t="inlineStr"/>
      <c r="D63" s="6" t="inlineStr">
        <is>
          <t>NON-RATED</t>
        </is>
      </c>
      <c r="E63" s="6" t="n">
        <v>33</v>
      </c>
    </row>
    <row r="64">
      <c r="A64" s="6" t="inlineStr">
        <is>
          <t>TOTAL LEAVES</t>
        </is>
      </c>
      <c r="B64" s="6" t="inlineStr"/>
      <c r="C64" s="6" t="inlineStr"/>
      <c r="D64" s="6" t="inlineStr"/>
      <c r="E64" s="6" t="n">
        <v>40</v>
      </c>
    </row>
    <row r="65">
      <c r="A65" s="6" t="inlineStr">
        <is>
          <t>TOTAL OPENINGS</t>
        </is>
      </c>
      <c r="B65" s="6" t="inlineStr"/>
      <c r="C65" s="6" t="inlineStr"/>
      <c r="D65" s="6" t="inlineStr"/>
      <c r="E65" s="6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0" customWidth="1" min="4" max="4"/>
    <col width="8" customWidth="1" min="5" max="5"/>
    <col width="14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WINDOWS-STOREFRONT</t>
        </is>
      </c>
    </row>
    <row r="3" ht="30" customHeight="1">
      <c r="A3" s="3" t="inlineStr">
        <is>
          <t>TYPE</t>
        </is>
      </c>
      <c r="B3" s="3" t="inlineStr">
        <is>
          <t>DESCRIPTION</t>
        </is>
      </c>
      <c r="C3" s="3" t="inlineStr">
        <is>
          <t>MO W (FT)</t>
        </is>
      </c>
      <c r="D3" s="3" t="inlineStr">
        <is>
          <t>MO H (FT)</t>
        </is>
      </c>
      <c r="E3" s="3" t="inlineStr">
        <is>
          <t>COUNT</t>
        </is>
      </c>
      <c r="F3" s="3" t="inlineStr">
        <is>
          <t>AREA EACH (SF)</t>
        </is>
      </c>
      <c r="G3" s="3" t="inlineStr">
        <is>
          <t>TOTAL SF</t>
        </is>
      </c>
      <c r="H3" s="3" t="inlineStr">
        <is>
          <t>PERIMETER EACH (LF)</t>
        </is>
      </c>
      <c r="I3" s="3" t="inlineStr">
        <is>
          <t>TOTAL PERIM (LF)</t>
        </is>
      </c>
    </row>
    <row r="4">
      <c r="A4" s="6" t="inlineStr">
        <is>
          <t>LV-1</t>
        </is>
      </c>
      <c r="B4" s="6" t="inlineStr">
        <is>
          <t>ALUM. LOUVER (FURNISHED BY DIV. 23), OPENING &amp; LINTEL BY GC</t>
        </is>
      </c>
      <c r="C4" s="18" t="n">
        <v>4</v>
      </c>
      <c r="D4" s="18" t="n">
        <v>4</v>
      </c>
      <c r="E4" s="8" t="n">
        <v>2</v>
      </c>
      <c r="F4" s="19">
        <f>C4*D4</f>
        <v/>
      </c>
      <c r="G4" s="9">
        <f>F4*E4</f>
        <v/>
      </c>
      <c r="H4" s="19">
        <f>2*(C4+D4)</f>
        <v/>
      </c>
      <c r="I4" s="9">
        <f>H4*E4</f>
        <v/>
      </c>
    </row>
    <row r="5">
      <c r="A5" s="6" t="inlineStr">
        <is>
          <t>SF-1</t>
        </is>
      </c>
      <c r="B5" s="6" t="inlineStr">
        <is>
          <t>ALUM. STOREFRONT ENTRANCE: PAIR 3'-0"x7'-0" DOORS, SIDELITES, TRANSOM</t>
        </is>
      </c>
      <c r="C5" s="18" t="n">
        <v>10.66666666666667</v>
      </c>
      <c r="D5" s="18" t="n">
        <v>9.333333333333334</v>
      </c>
      <c r="E5" s="8" t="n">
        <v>1</v>
      </c>
      <c r="F5" s="19">
        <f>C5*D5</f>
        <v/>
      </c>
      <c r="G5" s="9">
        <f>F5*E5</f>
        <v/>
      </c>
      <c r="H5" s="19">
        <f>2*(C5+D5)</f>
        <v/>
      </c>
      <c r="I5" s="9">
        <f>H5*E5</f>
        <v/>
      </c>
    </row>
    <row r="6">
      <c r="A6" s="6" t="inlineStr">
        <is>
          <t>SF-2</t>
        </is>
      </c>
      <c r="B6" s="6" t="inlineStr">
        <is>
          <t>ALUM. STOREFRONT WINDOW, 3 BAYS</t>
        </is>
      </c>
      <c r="C6" s="18" t="n">
        <v>10.66666666666667</v>
      </c>
      <c r="D6" s="18" t="n">
        <v>6.666666666666667</v>
      </c>
      <c r="E6" s="8" t="n">
        <v>2</v>
      </c>
      <c r="F6" s="19">
        <f>C6*D6</f>
        <v/>
      </c>
      <c r="G6" s="9">
        <f>F6*E6</f>
        <v/>
      </c>
      <c r="H6" s="19">
        <f>2*(C6+D6)</f>
        <v/>
      </c>
      <c r="I6" s="9">
        <f>H6*E6</f>
        <v/>
      </c>
    </row>
    <row r="7">
      <c r="A7" s="6" t="inlineStr">
        <is>
          <t>SF-3</t>
        </is>
      </c>
      <c r="B7" s="6" t="inlineStr">
        <is>
          <t>ALUM. STOREFRONT, 6 BAYS @ 5'-4", ON 8" CONC. CURB</t>
        </is>
      </c>
      <c r="C7" s="18" t="n">
        <v>32</v>
      </c>
      <c r="D7" s="18" t="n">
        <v>9.333333333333334</v>
      </c>
      <c r="E7" s="8" t="n">
        <v>2</v>
      </c>
      <c r="F7" s="19">
        <f>C7*D7</f>
        <v/>
      </c>
      <c r="G7" s="9">
        <f>F7*E7</f>
        <v/>
      </c>
      <c r="H7" s="19">
        <f>2*(C7+D7)</f>
        <v/>
      </c>
      <c r="I7" s="9">
        <f>H7*E7</f>
        <v/>
      </c>
    </row>
    <row r="8">
      <c r="A8" s="6" t="inlineStr">
        <is>
          <t>W-A</t>
        </is>
      </c>
      <c r="B8" s="6" t="inlineStr">
        <is>
          <t>ALUM. WINDOW: (2) FIXED LITES OVER (2) AWNING VENTS</t>
        </is>
      </c>
      <c r="C8" s="18" t="n">
        <v>6.666666666666667</v>
      </c>
      <c r="D8" s="18" t="n">
        <v>6.666666666666667</v>
      </c>
      <c r="E8" s="8" t="n">
        <v>46</v>
      </c>
      <c r="F8" s="19">
        <f>C8*D8</f>
        <v/>
      </c>
      <c r="G8" s="9">
        <f>F8*E8</f>
        <v/>
      </c>
      <c r="H8" s="19">
        <f>2*(C8+D8)</f>
        <v/>
      </c>
      <c r="I8" s="9">
        <f>H8*E8</f>
        <v/>
      </c>
    </row>
    <row r="9">
      <c r="A9" s="6" t="inlineStr">
        <is>
          <t>W-B</t>
        </is>
      </c>
      <c r="B9" s="6" t="inlineStr">
        <is>
          <t>ALUM. WINDOW: FIXED LITE OVER AWNING VENT</t>
        </is>
      </c>
      <c r="C9" s="18" t="n">
        <v>4</v>
      </c>
      <c r="D9" s="18" t="n">
        <v>6.666666666666667</v>
      </c>
      <c r="E9" s="8" t="n">
        <v>6</v>
      </c>
      <c r="F9" s="19">
        <f>C9*D9</f>
        <v/>
      </c>
      <c r="G9" s="9">
        <f>F9*E9</f>
        <v/>
      </c>
      <c r="H9" s="19">
        <f>2*(C9+D9)</f>
        <v/>
      </c>
      <c r="I9" s="9">
        <f>H9*E9</f>
        <v/>
      </c>
    </row>
    <row r="10">
      <c r="A10" s="6" t="inlineStr">
        <is>
          <t>W-C</t>
        </is>
      </c>
      <c r="B10" s="6" t="inlineStr">
        <is>
          <t>ALUM. STOREFRONT STRIP AT STAIR, (4) LITES HIGH</t>
        </is>
      </c>
      <c r="C10" s="18" t="n">
        <v>4</v>
      </c>
      <c r="D10" s="18" t="n">
        <v>18.66666666666667</v>
      </c>
      <c r="E10" s="8" t="n">
        <v>2</v>
      </c>
      <c r="F10" s="19">
        <f>C10*D10</f>
        <v/>
      </c>
      <c r="G10" s="9">
        <f>F10*E10</f>
        <v/>
      </c>
      <c r="H10" s="19">
        <f>2*(C10+D10)</f>
        <v/>
      </c>
      <c r="I10" s="9">
        <f>H10*E10</f>
        <v/>
      </c>
    </row>
    <row r="12">
      <c r="A12" s="4" t="inlineStr">
        <is>
          <t>BY ELEVATION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30" customHeight="1">
      <c r="A13" s="3" t="inlineStr">
        <is>
          <t>TYPE</t>
        </is>
      </c>
      <c r="B13" s="3" t="inlineStr">
        <is>
          <t>ELEVATION / LEVEL</t>
        </is>
      </c>
      <c r="C13" s="3" t="inlineStr"/>
      <c r="D13" s="3" t="inlineStr"/>
      <c r="E13" s="3" t="inlineStr">
        <is>
          <t>COUNT</t>
        </is>
      </c>
      <c r="F13" s="3" t="inlineStr"/>
      <c r="G13" s="3" t="inlineStr"/>
      <c r="H13" s="3" t="inlineStr"/>
      <c r="I13" s="3" t="inlineStr"/>
    </row>
    <row r="14">
      <c r="A14" s="6" t="inlineStr">
        <is>
          <t>LV-1</t>
        </is>
      </c>
      <c r="B14" s="6" t="inlineStr">
        <is>
          <t>SOUTH / L1</t>
        </is>
      </c>
      <c r="C14" s="6" t="inlineStr"/>
      <c r="D14" s="6" t="inlineStr"/>
      <c r="E14" s="6" t="n">
        <v>2</v>
      </c>
    </row>
    <row r="15">
      <c r="A15" s="6" t="inlineStr">
        <is>
          <t>SF-1</t>
        </is>
      </c>
      <c r="B15" s="6" t="inlineStr">
        <is>
          <t>EAST / L1</t>
        </is>
      </c>
      <c r="C15" s="6" t="inlineStr"/>
      <c r="D15" s="6" t="inlineStr"/>
      <c r="E15" s="6" t="n">
        <v>1</v>
      </c>
    </row>
    <row r="16">
      <c r="A16" s="6" t="inlineStr">
        <is>
          <t>SF-2</t>
        </is>
      </c>
      <c r="B16" s="6" t="inlineStr">
        <is>
          <t>EAST / L2</t>
        </is>
      </c>
      <c r="C16" s="6" t="inlineStr"/>
      <c r="D16" s="6" t="inlineStr"/>
      <c r="E16" s="6" t="n">
        <v>1</v>
      </c>
    </row>
    <row r="17">
      <c r="A17" s="6" t="inlineStr">
        <is>
          <t>SF-2</t>
        </is>
      </c>
      <c r="B17" s="6" t="inlineStr">
        <is>
          <t>WEST / L2</t>
        </is>
      </c>
      <c r="C17" s="6" t="inlineStr"/>
      <c r="D17" s="6" t="inlineStr"/>
      <c r="E17" s="6" t="n">
        <v>1</v>
      </c>
    </row>
    <row r="18">
      <c r="A18" s="6" t="inlineStr">
        <is>
          <t>SF-3</t>
        </is>
      </c>
      <c r="B18" s="6" t="inlineStr">
        <is>
          <t>LINK NORTH / L1</t>
        </is>
      </c>
      <c r="C18" s="6" t="inlineStr"/>
      <c r="D18" s="6" t="inlineStr"/>
      <c r="E18" s="6" t="n">
        <v>1</v>
      </c>
    </row>
    <row r="19">
      <c r="A19" s="6" t="inlineStr">
        <is>
          <t>SF-3</t>
        </is>
      </c>
      <c r="B19" s="6" t="inlineStr">
        <is>
          <t>LINK SOUTH / L1</t>
        </is>
      </c>
      <c r="C19" s="6" t="inlineStr"/>
      <c r="D19" s="6" t="inlineStr"/>
      <c r="E19" s="6" t="n">
        <v>1</v>
      </c>
    </row>
    <row r="20">
      <c r="A20" s="6" t="inlineStr">
        <is>
          <t>W-A</t>
        </is>
      </c>
      <c r="B20" s="6" t="inlineStr">
        <is>
          <t>EAST / L1</t>
        </is>
      </c>
      <c r="C20" s="6" t="inlineStr"/>
      <c r="D20" s="6" t="inlineStr"/>
      <c r="E20" s="6" t="n">
        <v>1</v>
      </c>
    </row>
    <row r="21">
      <c r="A21" s="6" t="inlineStr">
        <is>
          <t>W-A</t>
        </is>
      </c>
      <c r="B21" s="6" t="inlineStr">
        <is>
          <t>EAST / L2</t>
        </is>
      </c>
      <c r="C21" s="6" t="inlineStr"/>
      <c r="D21" s="6" t="inlineStr"/>
      <c r="E21" s="6" t="n">
        <v>1</v>
      </c>
    </row>
    <row r="22">
      <c r="A22" s="6" t="inlineStr">
        <is>
          <t>W-A</t>
        </is>
      </c>
      <c r="B22" s="6" t="inlineStr">
        <is>
          <t>NORTH / L1</t>
        </is>
      </c>
      <c r="C22" s="6" t="inlineStr"/>
      <c r="D22" s="6" t="inlineStr"/>
      <c r="E22" s="6" t="n">
        <v>12</v>
      </c>
    </row>
    <row r="23">
      <c r="A23" s="6" t="inlineStr">
        <is>
          <t>W-A</t>
        </is>
      </c>
      <c r="B23" s="6" t="inlineStr">
        <is>
          <t>NORTH / L2</t>
        </is>
      </c>
      <c r="C23" s="6" t="inlineStr"/>
      <c r="D23" s="6" t="inlineStr"/>
      <c r="E23" s="6" t="n">
        <v>12</v>
      </c>
    </row>
    <row r="24">
      <c r="A24" s="6" t="inlineStr">
        <is>
          <t>W-A</t>
        </is>
      </c>
      <c r="B24" s="6" t="inlineStr">
        <is>
          <t>SOUTH / L1</t>
        </is>
      </c>
      <c r="C24" s="6" t="inlineStr"/>
      <c r="D24" s="6" t="inlineStr"/>
      <c r="E24" s="6" t="n">
        <v>9</v>
      </c>
    </row>
    <row r="25">
      <c r="A25" s="6" t="inlineStr">
        <is>
          <t>W-A</t>
        </is>
      </c>
      <c r="B25" s="6" t="inlineStr">
        <is>
          <t>SOUTH / L2</t>
        </is>
      </c>
      <c r="C25" s="6" t="inlineStr"/>
      <c r="D25" s="6" t="inlineStr"/>
      <c r="E25" s="6" t="n">
        <v>9</v>
      </c>
    </row>
    <row r="26">
      <c r="A26" s="6" t="inlineStr">
        <is>
          <t>W-A</t>
        </is>
      </c>
      <c r="B26" s="6" t="inlineStr">
        <is>
          <t>WEST / L1</t>
        </is>
      </c>
      <c r="C26" s="6" t="inlineStr"/>
      <c r="D26" s="6" t="inlineStr"/>
      <c r="E26" s="6" t="n">
        <v>1</v>
      </c>
    </row>
    <row r="27">
      <c r="A27" s="6" t="inlineStr">
        <is>
          <t>W-A</t>
        </is>
      </c>
      <c r="B27" s="6" t="inlineStr">
        <is>
          <t>WEST / L2</t>
        </is>
      </c>
      <c r="C27" s="6" t="inlineStr"/>
      <c r="D27" s="6" t="inlineStr"/>
      <c r="E27" s="6" t="n">
        <v>1</v>
      </c>
    </row>
    <row r="28">
      <c r="A28" s="6" t="inlineStr">
        <is>
          <t>W-B</t>
        </is>
      </c>
      <c r="B28" s="6" t="inlineStr">
        <is>
          <t>NORTH / L1</t>
        </is>
      </c>
      <c r="C28" s="6" t="inlineStr"/>
      <c r="D28" s="6" t="inlineStr"/>
      <c r="E28" s="6" t="n">
        <v>2</v>
      </c>
    </row>
    <row r="29">
      <c r="A29" s="6" t="inlineStr">
        <is>
          <t>W-B</t>
        </is>
      </c>
      <c r="B29" s="6" t="inlineStr">
        <is>
          <t>NORTH / L2</t>
        </is>
      </c>
      <c r="C29" s="6" t="inlineStr"/>
      <c r="D29" s="6" t="inlineStr"/>
      <c r="E29" s="6" t="n">
        <v>2</v>
      </c>
    </row>
    <row r="30">
      <c r="A30" s="6" t="inlineStr">
        <is>
          <t>W-B</t>
        </is>
      </c>
      <c r="B30" s="6" t="inlineStr">
        <is>
          <t>SOUTH / L1</t>
        </is>
      </c>
      <c r="C30" s="6" t="inlineStr"/>
      <c r="D30" s="6" t="inlineStr"/>
      <c r="E30" s="6" t="n">
        <v>1</v>
      </c>
    </row>
    <row r="31">
      <c r="A31" s="6" t="inlineStr">
        <is>
          <t>W-B</t>
        </is>
      </c>
      <c r="B31" s="6" t="inlineStr">
        <is>
          <t>SOUTH / L2</t>
        </is>
      </c>
      <c r="C31" s="6" t="inlineStr"/>
      <c r="D31" s="6" t="inlineStr"/>
      <c r="E31" s="6" t="n">
        <v>1</v>
      </c>
    </row>
    <row r="32">
      <c r="A32" s="6" t="inlineStr">
        <is>
          <t>W-C</t>
        </is>
      </c>
      <c r="B32" s="6" t="inlineStr">
        <is>
          <t>NORTH / L1</t>
        </is>
      </c>
      <c r="C32" s="6" t="inlineStr"/>
      <c r="D32" s="6" t="inlineStr"/>
      <c r="E32" s="6" t="n">
        <v>1</v>
      </c>
    </row>
    <row r="33">
      <c r="A33" s="6" t="inlineStr">
        <is>
          <t>W-C</t>
        </is>
      </c>
      <c r="B33" s="6" t="inlineStr">
        <is>
          <t>SOUTH / L1</t>
        </is>
      </c>
      <c r="C33" s="6" t="inlineStr"/>
      <c r="D33" s="6" t="inlineStr"/>
      <c r="E33" s="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2" customWidth="1" min="3" max="3"/>
    <col width="8" customWidth="1" min="4" max="4"/>
    <col width="50" customWidth="1" min="5" max="5"/>
  </cols>
  <sheetData>
    <row r="1">
      <c r="A1" s="1" t="inlineStr">
        <is>
          <t>CARPENTRY</t>
        </is>
      </c>
    </row>
    <row r="3" ht="30" customHeight="1">
      <c r="A3" s="3" t="inlineStr">
        <is>
          <t>ITEM</t>
        </is>
      </c>
      <c r="B3" s="3" t="inlineStr">
        <is>
          <t>DESCRIPTION</t>
        </is>
      </c>
      <c r="C3" s="3" t="inlineStr">
        <is>
          <t>QTY</t>
        </is>
      </c>
      <c r="D3" s="3" t="inlineStr">
        <is>
          <t>UNIT</t>
        </is>
      </c>
      <c r="E3" s="3" t="inlineStr">
        <is>
          <t>NOTES</t>
        </is>
      </c>
    </row>
    <row r="4">
      <c r="A4" s="4" t="inlineStr">
        <is>
          <t>ROUGH CARPENTRY (TREATED / FRT BLOCKING)</t>
        </is>
      </c>
      <c r="B4" s="5" t="n"/>
      <c r="C4" s="5" t="n"/>
      <c r="D4" s="5" t="n"/>
      <c r="E4" s="5" t="n"/>
    </row>
    <row r="5">
      <c r="A5" s="6" t="inlineStr">
        <is>
          <t>PARAPET BLOCKING - MAIN ROOF</t>
        </is>
      </c>
      <c r="B5" s="6" t="inlineStr">
        <is>
          <t>PARAPET PERIMETER (LF), MULTIPLY BY NUMBER OF PLIES PER 8/A-501</t>
        </is>
      </c>
      <c r="C5" s="9" t="n">
        <v>451.625</v>
      </c>
      <c r="D5" s="6" t="inlineStr">
        <is>
          <t>LF</t>
        </is>
      </c>
      <c r="E5" s="6" t="inlineStr">
        <is>
          <t>outside face perimeter</t>
        </is>
      </c>
    </row>
    <row r="6">
      <c r="A6" s="6" t="inlineStr">
        <is>
          <t>PARAPET BLOCKING - LINK ROOF</t>
        </is>
      </c>
      <c r="B6" s="6" t="inlineStr">
        <is>
          <t>NORTH + SOUTH LINK PARAPETS</t>
        </is>
      </c>
      <c r="C6" s="9" t="n">
        <v>72</v>
      </c>
      <c r="D6" s="6" t="inlineStr">
        <is>
          <t>LF</t>
        </is>
      </c>
      <c r="E6" s="6" t="inlineStr"/>
    </row>
    <row r="7">
      <c r="A7" s="6" t="inlineStr">
        <is>
          <t>ROOF-TO-WALL NAILER AT LINK</t>
        </is>
      </c>
      <c r="B7" s="6" t="inlineStr">
        <is>
          <t>MAIN BUILDING WEST WALL ABOVE LINK ROOF + EXIST. WALL</t>
        </is>
      </c>
      <c r="C7" s="9" t="n">
        <v>24</v>
      </c>
      <c r="D7" s="6" t="inlineStr">
        <is>
          <t>LF</t>
        </is>
      </c>
      <c r="E7" s="6" t="inlineStr"/>
    </row>
    <row r="8">
      <c r="A8" s="6" t="inlineStr">
        <is>
          <t>WINDOW / STOREFRONT PERIMETER BLOCKING</t>
        </is>
      </c>
      <c r="B8" s="6" t="inlineStr">
        <is>
          <t>SUM OF MO PERIMETERS (ALL W / SF TYPES)</t>
        </is>
      </c>
      <c r="C8" s="9" t="n">
        <v>1720.000000000001</v>
      </c>
      <c r="D8" s="6" t="inlineStr">
        <is>
          <t>LF</t>
        </is>
      </c>
      <c r="E8" s="6" t="inlineStr">
        <is>
          <t>if detailed on A-501</t>
        </is>
      </c>
    </row>
    <row r="9">
      <c r="A9" s="6" t="inlineStr">
        <is>
          <t>RTU CURB NAILERS</t>
        </is>
      </c>
      <c r="B9" s="6" t="inlineStr">
        <is>
          <t>3 CURBS x 2 x (14' + 7')</t>
        </is>
      </c>
      <c r="C9" s="9" t="n">
        <v>126</v>
      </c>
      <c r="D9" s="6" t="inlineStr">
        <is>
          <t>LF</t>
        </is>
      </c>
      <c r="E9" s="6" t="inlineStr"/>
    </row>
    <row r="10">
      <c r="A10" s="6" t="inlineStr">
        <is>
          <t>ROOF HATCH CURB NAILER</t>
        </is>
      </c>
      <c r="B10" s="6" t="inlineStr">
        <is>
          <t>2 x (2.5' + 3.0')</t>
        </is>
      </c>
      <c r="C10" s="9" t="n">
        <v>11</v>
      </c>
      <c r="D10" s="6" t="inlineStr">
        <is>
          <t>LF</t>
        </is>
      </c>
      <c r="E10" s="6" t="inlineStr"/>
    </row>
    <row r="11">
      <c r="A11" s="6" t="inlineStr">
        <is>
          <t>FRT PLYWOOD BACKBOARDS</t>
        </is>
      </c>
      <c r="B11" s="6" t="inlineStr">
        <is>
          <t>3/4" x 4' x 8': IDF 212 (3) + MECH/ELEC 112 (4)</t>
        </is>
      </c>
      <c r="C11" s="9" t="n">
        <v>7</v>
      </c>
      <c r="D11" s="6" t="inlineStr">
        <is>
          <t>SHT</t>
        </is>
      </c>
      <c r="E11" s="6" t="inlineStr"/>
    </row>
    <row r="12">
      <c r="A12" s="4" t="inlineStr">
        <is>
          <t>ARCHITECTURAL CASEWORK (06 41 00)</t>
        </is>
      </c>
      <c r="B12" s="5" t="n"/>
      <c r="C12" s="5" t="n"/>
      <c r="D12" s="5" t="n"/>
      <c r="E12" s="5" t="n"/>
    </row>
    <row r="13">
      <c r="A13" s="6" t="inlineStr">
        <is>
          <t>CLASSROOM x 14</t>
        </is>
      </c>
      <c r="B13" s="6" t="inlineStr">
        <is>
          <t>CW-1: BASE CABINET 24"D x 34 1/2"H, PLAM, DRAWER OVER DOORS</t>
        </is>
      </c>
      <c r="C13" s="9" t="n">
        <v>126</v>
      </c>
      <c r="D13" s="6" t="inlineStr">
        <is>
          <t>LF</t>
        </is>
      </c>
      <c r="E13" s="6" t="inlineStr">
        <is>
          <t>9.0 LF per room</t>
        </is>
      </c>
    </row>
    <row r="14">
      <c r="A14" s="6" t="inlineStr">
        <is>
          <t>CLASSROOM x 14</t>
        </is>
      </c>
      <c r="B14" s="6" t="inlineStr">
        <is>
          <t>CW-2: SINK BASE CABINET 36"W x 24"D, PLAM, OPEN BACK</t>
        </is>
      </c>
      <c r="C14" s="9" t="n">
        <v>42</v>
      </c>
      <c r="D14" s="6" t="inlineStr">
        <is>
          <t>LF</t>
        </is>
      </c>
      <c r="E14" s="6" t="inlineStr">
        <is>
          <t>3.0 LF per room</t>
        </is>
      </c>
    </row>
    <row r="15">
      <c r="A15" s="6" t="inlineStr">
        <is>
          <t>CLASSROOM x 14</t>
        </is>
      </c>
      <c r="B15" s="6" t="inlineStr">
        <is>
          <t>CW-3: WALL CABINET 12"D x 30"H, PLAM, ADJ. SHELVES, BOTTOM @ 54" AFF</t>
        </is>
      </c>
      <c r="C15" s="9" t="n">
        <v>126</v>
      </c>
      <c r="D15" s="6" t="inlineStr">
        <is>
          <t>LF</t>
        </is>
      </c>
      <c r="E15" s="6" t="inlineStr">
        <is>
          <t>9.0 LF per room</t>
        </is>
      </c>
    </row>
    <row r="16">
      <c r="A16" s="6" t="inlineStr">
        <is>
          <t>CLASSROOM x 14</t>
        </is>
      </c>
      <c r="B16" s="6" t="inlineStr">
        <is>
          <t>CW-4: TALL STORAGE / WARDROBE CABINET 36"W x 24"D x 84"H, LOCKABLE</t>
        </is>
      </c>
      <c r="C16" s="9" t="n">
        <v>14</v>
      </c>
      <c r="D16" s="6" t="inlineStr">
        <is>
          <t>EA</t>
        </is>
      </c>
      <c r="E16" s="6" t="inlineStr">
        <is>
          <t>1 EA per room</t>
        </is>
      </c>
    </row>
    <row r="17">
      <c r="A17" s="6" t="inlineStr">
        <is>
          <t>CLASSROOM x 14</t>
        </is>
      </c>
      <c r="B17" s="6" t="inlineStr">
        <is>
          <t>CW-5: OPEN STUDENT CUBBY UNIT 15"D x 60"H, 12 CUBBIES PER 8'-0", COAT HOOKS</t>
        </is>
      </c>
      <c r="C17" s="9" t="n">
        <v>224</v>
      </c>
      <c r="D17" s="6" t="inlineStr">
        <is>
          <t>LF</t>
        </is>
      </c>
      <c r="E17" s="6" t="inlineStr">
        <is>
          <t>16.0 LF per room</t>
        </is>
      </c>
    </row>
    <row r="18">
      <c r="A18" s="6" t="inlineStr">
        <is>
          <t>CLASSROOM x 14</t>
        </is>
      </c>
      <c r="B18" s="6" t="inlineStr">
        <is>
          <t>CT-1: PLASTIC LAMINATE COUNTERTOP, 1 1/4" PARTICLEBOARD CORE, 4" BACKSPLASH</t>
        </is>
      </c>
      <c r="C18" s="9" t="n">
        <v>168</v>
      </c>
      <c r="D18" s="6" t="inlineStr">
        <is>
          <t>LF</t>
        </is>
      </c>
      <c r="E18" s="6" t="inlineStr">
        <is>
          <t>12.0 LF per room</t>
        </is>
      </c>
    </row>
    <row r="19">
      <c r="A19" s="6" t="inlineStr">
        <is>
          <t>SMALL GROUP x 2</t>
        </is>
      </c>
      <c r="B19" s="6" t="inlineStr">
        <is>
          <t>CW-1: BASE CABINET 24"D x 34 1/2"H, PLAM, DRAWER OVER DOORS</t>
        </is>
      </c>
      <c r="C19" s="9" t="n">
        <v>16</v>
      </c>
      <c r="D19" s="6" t="inlineStr">
        <is>
          <t>LF</t>
        </is>
      </c>
      <c r="E19" s="6" t="inlineStr">
        <is>
          <t>8.0 LF per room</t>
        </is>
      </c>
    </row>
    <row r="20">
      <c r="A20" s="6" t="inlineStr">
        <is>
          <t>SMALL GROUP x 2</t>
        </is>
      </c>
      <c r="B20" s="6" t="inlineStr">
        <is>
          <t>CT-1: PLASTIC LAMINATE COUNTERTOP, 1 1/4" PARTICLEBOARD CORE, 4" BACKSPLASH</t>
        </is>
      </c>
      <c r="C20" s="9" t="n">
        <v>16</v>
      </c>
      <c r="D20" s="6" t="inlineStr">
        <is>
          <t>LF</t>
        </is>
      </c>
      <c r="E20" s="6" t="inlineStr">
        <is>
          <t>8.0 LF per room</t>
        </is>
      </c>
    </row>
    <row r="21">
      <c r="A21" s="6" t="inlineStr">
        <is>
          <t>STAFF WORKROOM x 1</t>
        </is>
      </c>
      <c r="B21" s="6" t="inlineStr">
        <is>
          <t>CW-1: BASE CABINET 24"D x 34 1/2"H, PLAM, DRAWER OVER DOORS</t>
        </is>
      </c>
      <c r="C21" s="9" t="n">
        <v>12</v>
      </c>
      <c r="D21" s="6" t="inlineStr">
        <is>
          <t>LF</t>
        </is>
      </c>
      <c r="E21" s="6" t="inlineStr">
        <is>
          <t>12.0 LF per room</t>
        </is>
      </c>
    </row>
    <row r="22">
      <c r="A22" s="6" t="inlineStr">
        <is>
          <t>STAFF WORKROOM x 1</t>
        </is>
      </c>
      <c r="B22" s="6" t="inlineStr">
        <is>
          <t>CW-2: SINK BASE CABINET 36"W x 24"D, PLAM, OPEN BACK</t>
        </is>
      </c>
      <c r="C22" s="9" t="n">
        <v>3</v>
      </c>
      <c r="D22" s="6" t="inlineStr">
        <is>
          <t>LF</t>
        </is>
      </c>
      <c r="E22" s="6" t="inlineStr">
        <is>
          <t>3.0 LF per room</t>
        </is>
      </c>
    </row>
    <row r="23">
      <c r="A23" s="6" t="inlineStr">
        <is>
          <t>STAFF WORKROOM x 1</t>
        </is>
      </c>
      <c r="B23" s="6" t="inlineStr">
        <is>
          <t>CW-3: WALL CABINET 12"D x 30"H, PLAM, ADJ. SHELVES, BOTTOM @ 54" AFF</t>
        </is>
      </c>
      <c r="C23" s="9" t="n">
        <v>12</v>
      </c>
      <c r="D23" s="6" t="inlineStr">
        <is>
          <t>LF</t>
        </is>
      </c>
      <c r="E23" s="6" t="inlineStr">
        <is>
          <t>12.0 LF per room</t>
        </is>
      </c>
    </row>
    <row r="24">
      <c r="A24" s="6" t="inlineStr">
        <is>
          <t>STAFF WORKROOM x 1</t>
        </is>
      </c>
      <c r="B24" s="6" t="inlineStr">
        <is>
          <t>CW-4: TALL STORAGE / WARDROBE CABINET 36"W x 24"D x 84"H, LOCKABLE</t>
        </is>
      </c>
      <c r="C24" s="9" t="n">
        <v>2</v>
      </c>
      <c r="D24" s="6" t="inlineStr">
        <is>
          <t>EA</t>
        </is>
      </c>
      <c r="E24" s="6" t="inlineStr">
        <is>
          <t>2 EA per room</t>
        </is>
      </c>
    </row>
    <row r="25">
      <c r="A25" s="6" t="inlineStr">
        <is>
          <t>STAFF WORKROOM x 1</t>
        </is>
      </c>
      <c r="B25" s="6" t="inlineStr">
        <is>
          <t>CT-1: PLASTIC LAMINATE COUNTERTOP, 1 1/4" PARTICLEBOARD CORE, 4" BACKSPLASH</t>
        </is>
      </c>
      <c r="C25" s="9" t="n">
        <v>15</v>
      </c>
      <c r="D25" s="6" t="inlineStr">
        <is>
          <t>LF</t>
        </is>
      </c>
      <c r="E25" s="6" t="inlineStr">
        <is>
          <t>15.0 LF per room</t>
        </is>
      </c>
    </row>
    <row r="26">
      <c r="A26" s="6" t="inlineStr">
        <is>
          <t>TEACHER PLANNING x 1</t>
        </is>
      </c>
      <c r="B26" s="6" t="inlineStr">
        <is>
          <t>CW-1: BASE CABINET 24"D x 34 1/2"H, PLAM, DRAWER OVER DOORS</t>
        </is>
      </c>
      <c r="C26" s="9" t="n">
        <v>9</v>
      </c>
      <c r="D26" s="6" t="inlineStr">
        <is>
          <t>LF</t>
        </is>
      </c>
      <c r="E26" s="6" t="inlineStr">
        <is>
          <t>9.0 LF per room</t>
        </is>
      </c>
    </row>
    <row r="27">
      <c r="A27" s="6" t="inlineStr">
        <is>
          <t>TEACHER PLANNING x 1</t>
        </is>
      </c>
      <c r="B27" s="6" t="inlineStr">
        <is>
          <t>CW-2: SINK BASE CABINET 36"W x 24"D, PLAM, OPEN BACK</t>
        </is>
      </c>
      <c r="C27" s="9" t="n">
        <v>3</v>
      </c>
      <c r="D27" s="6" t="inlineStr">
        <is>
          <t>LF</t>
        </is>
      </c>
      <c r="E27" s="6" t="inlineStr">
        <is>
          <t>3.0 LF per room</t>
        </is>
      </c>
    </row>
    <row r="28">
      <c r="A28" s="6" t="inlineStr">
        <is>
          <t>TEACHER PLANNING x 1</t>
        </is>
      </c>
      <c r="B28" s="6" t="inlineStr">
        <is>
          <t>CW-3: WALL CABINET 12"D x 30"H, PLAM, ADJ. SHELVES, BOTTOM @ 54" AFF</t>
        </is>
      </c>
      <c r="C28" s="9" t="n">
        <v>12</v>
      </c>
      <c r="D28" s="6" t="inlineStr">
        <is>
          <t>LF</t>
        </is>
      </c>
      <c r="E28" s="6" t="inlineStr">
        <is>
          <t>12.0 LF per room</t>
        </is>
      </c>
    </row>
    <row r="29">
      <c r="A29" s="6" t="inlineStr">
        <is>
          <t>TEACHER PLANNING x 1</t>
        </is>
      </c>
      <c r="B29" s="6" t="inlineStr">
        <is>
          <t>CW-4: TALL STORAGE / WARDROBE CABINET 36"W x 24"D x 84"H, LOCKABLE</t>
        </is>
      </c>
      <c r="C29" s="9" t="n">
        <v>1</v>
      </c>
      <c r="D29" s="6" t="inlineStr">
        <is>
          <t>EA</t>
        </is>
      </c>
      <c r="E29" s="6" t="inlineStr">
        <is>
          <t>1 EA per room</t>
        </is>
      </c>
    </row>
    <row r="30">
      <c r="A30" s="6" t="inlineStr">
        <is>
          <t>TEACHER PLANNING x 1</t>
        </is>
      </c>
      <c r="B30" s="6" t="inlineStr">
        <is>
          <t>CT-1: PLASTIC LAMINATE COUNTERTOP, 1 1/4" PARTICLEBOARD CORE, 4" BACKSPLASH</t>
        </is>
      </c>
      <c r="C30" s="9" t="n">
        <v>12</v>
      </c>
      <c r="D30" s="6" t="inlineStr">
        <is>
          <t>LF</t>
        </is>
      </c>
      <c r="E30" s="6" t="inlineStr">
        <is>
          <t>12.0 LF per room</t>
        </is>
      </c>
    </row>
    <row r="31">
      <c r="A31" s="4" t="inlineStr">
        <is>
          <t>CASEWORK TOTALS</t>
        </is>
      </c>
      <c r="B31" s="5" t="n"/>
      <c r="C31" s="5" t="n"/>
      <c r="D31" s="5" t="n"/>
      <c r="E31" s="5" t="n"/>
    </row>
    <row r="32">
      <c r="A32" s="6" t="inlineStr">
        <is>
          <t>CT-1</t>
        </is>
      </c>
      <c r="B32" s="6" t="inlineStr">
        <is>
          <t>PLASTIC LAMINATE COUNTERTOP, 1 1/4" PARTICLEBOARD CORE, 4" BACKSPLASH</t>
        </is>
      </c>
      <c r="C32" s="9" t="n">
        <v>211</v>
      </c>
      <c r="D32" s="6" t="inlineStr">
        <is>
          <t>LF</t>
        </is>
      </c>
      <c r="E32" s="6" t="inlineStr"/>
    </row>
    <row r="33">
      <c r="A33" s="6" t="inlineStr">
        <is>
          <t>CW-1</t>
        </is>
      </c>
      <c r="B33" s="6" t="inlineStr">
        <is>
          <t>BASE CABINET 24"D x 34 1/2"H, PLAM, DRAWER OVER DOORS</t>
        </is>
      </c>
      <c r="C33" s="9" t="n">
        <v>163</v>
      </c>
      <c r="D33" s="6" t="inlineStr">
        <is>
          <t>LF</t>
        </is>
      </c>
      <c r="E33" s="6" t="inlineStr"/>
    </row>
    <row r="34">
      <c r="A34" s="6" t="inlineStr">
        <is>
          <t>CW-2</t>
        </is>
      </c>
      <c r="B34" s="6" t="inlineStr">
        <is>
          <t>SINK BASE CABINET 36"W x 24"D, PLAM, OPEN BACK</t>
        </is>
      </c>
      <c r="C34" s="9" t="n">
        <v>48</v>
      </c>
      <c r="D34" s="6" t="inlineStr">
        <is>
          <t>LF</t>
        </is>
      </c>
      <c r="E34" s="6" t="inlineStr"/>
    </row>
    <row r="35">
      <c r="A35" s="6" t="inlineStr">
        <is>
          <t>CW-3</t>
        </is>
      </c>
      <c r="B35" s="6" t="inlineStr">
        <is>
          <t>WALL CABINET 12"D x 30"H, PLAM, ADJ. SHELVES, BOTTOM @ 54" AFF</t>
        </is>
      </c>
      <c r="C35" s="9" t="n">
        <v>150</v>
      </c>
      <c r="D35" s="6" t="inlineStr">
        <is>
          <t>LF</t>
        </is>
      </c>
      <c r="E35" s="6" t="inlineStr"/>
    </row>
    <row r="36">
      <c r="A36" s="6" t="inlineStr">
        <is>
          <t>CW-4</t>
        </is>
      </c>
      <c r="B36" s="6" t="inlineStr">
        <is>
          <t>TALL STORAGE / WARDROBE CABINET 36"W x 24"D x 84"H, LOCKABLE</t>
        </is>
      </c>
      <c r="C36" s="9" t="n">
        <v>17</v>
      </c>
      <c r="D36" s="6" t="inlineStr">
        <is>
          <t>EA</t>
        </is>
      </c>
      <c r="E36" s="6" t="inlineStr"/>
    </row>
    <row r="37">
      <c r="A37" s="6" t="inlineStr">
        <is>
          <t>CW-5</t>
        </is>
      </c>
      <c r="B37" s="6" t="inlineStr">
        <is>
          <t>OPEN STUDENT CUBBY UNIT 15"D x 60"H, 12 CUBBIES PER 8'-0", COAT HOOKS</t>
        </is>
      </c>
      <c r="C37" s="9" t="n">
        <v>224</v>
      </c>
      <c r="D37" s="6" t="inlineStr">
        <is>
          <t>LF</t>
        </is>
      </c>
      <c r="E3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